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ITMO_NIR\data\"/>
    </mc:Choice>
  </mc:AlternateContent>
  <xr:revisionPtr revIDLastSave="0" documentId="13_ncr:1_{CC979760-E766-4472-BAD9-C5650F1ACB1D}" xr6:coauthVersionLast="45" xr6:coauthVersionMax="47" xr10:uidLastSave="{00000000-0000-0000-0000-000000000000}"/>
  <bookViews>
    <workbookView xWindow="9435" yWindow="7890" windowWidth="21600" windowHeight="10335" tabRatio="852" firstSheet="5" activeTab="5" xr2:uid="{00000000-000D-0000-FFFF-FFFF00000000}"/>
  </bookViews>
  <sheets>
    <sheet name="Прогнозы" sheetId="23" state="hidden" r:id="rId1"/>
    <sheet name="Данные для расчета NPL&gt;" sheetId="22" state="hidden" r:id="rId2"/>
    <sheet name="Total_before_2019" sheetId="4" state="hidden" r:id="rId3"/>
    <sheet name="Non-performing_before_2019" sheetId="2" state="hidden" r:id="rId4"/>
    <sheet name="Total_after_2019" sheetId="7" state="hidden" r:id="rId5"/>
    <sheet name="Non-performing_after_2019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9" i="23" l="1"/>
  <c r="H15" i="23"/>
  <c r="H14" i="23"/>
  <c r="H13" i="23"/>
  <c r="H28" i="23" s="1"/>
  <c r="H30" i="23" s="1"/>
  <c r="G14" i="23"/>
  <c r="G15" i="23"/>
  <c r="G13" i="23"/>
  <c r="K23" i="23" l="1"/>
  <c r="F29" i="23"/>
  <c r="L23" i="23"/>
  <c r="G29" i="23" s="1"/>
  <c r="G30" i="23" s="1"/>
  <c r="L22" i="23"/>
  <c r="L21" i="23"/>
  <c r="K21" i="23"/>
  <c r="E28" i="23" s="1"/>
  <c r="C2" i="7" l="1"/>
  <c r="D2" i="7" s="1"/>
  <c r="C3" i="7"/>
  <c r="D3" i="7"/>
  <c r="C4" i="7"/>
  <c r="D4" i="7"/>
  <c r="C5" i="7"/>
  <c r="D5" i="7" s="1"/>
  <c r="C6" i="7"/>
  <c r="D6" i="7"/>
  <c r="C7" i="7"/>
  <c r="D7" i="7"/>
  <c r="C8" i="7"/>
  <c r="D8" i="7"/>
  <c r="C9" i="7"/>
  <c r="D9" i="7"/>
  <c r="C10" i="7"/>
  <c r="D10" i="7" s="1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 s="1"/>
  <c r="C19" i="7"/>
  <c r="D19" i="7"/>
  <c r="C20" i="7"/>
  <c r="D20" i="7"/>
  <c r="C21" i="7"/>
  <c r="D21" i="7"/>
  <c r="C22" i="7"/>
  <c r="D22" i="7"/>
  <c r="C23" i="7"/>
  <c r="D23" i="7"/>
  <c r="C24" i="7"/>
  <c r="D24" i="7" s="1"/>
  <c r="C25" i="7"/>
  <c r="D25" i="7"/>
  <c r="C26" i="7"/>
  <c r="D26" i="7" s="1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C52" i="7"/>
  <c r="D52" i="7"/>
  <c r="C53" i="7"/>
  <c r="D53" i="7"/>
  <c r="C54" i="7"/>
  <c r="D54" i="7"/>
  <c r="C55" i="7"/>
  <c r="D55" i="7"/>
  <c r="C56" i="7"/>
  <c r="D56" i="7"/>
  <c r="C57" i="7"/>
  <c r="D57" i="7"/>
  <c r="C58" i="7"/>
  <c r="D58" i="7"/>
  <c r="C59" i="7"/>
  <c r="D59" i="7"/>
  <c r="C60" i="7"/>
  <c r="D60" i="7"/>
  <c r="C61" i="7"/>
  <c r="D61" i="7"/>
  <c r="C62" i="7"/>
  <c r="D62" i="7"/>
  <c r="C63" i="7"/>
  <c r="D63" i="7"/>
  <c r="C64" i="7"/>
  <c r="D64" i="7"/>
  <c r="C65" i="7"/>
  <c r="D65" i="7"/>
  <c r="C66" i="7"/>
  <c r="D66" i="7"/>
  <c r="C67" i="7"/>
  <c r="D67" i="7"/>
  <c r="C68" i="7"/>
  <c r="D68" i="7"/>
  <c r="C69" i="7"/>
  <c r="D69" i="7"/>
  <c r="C70" i="7"/>
  <c r="D70" i="7"/>
  <c r="C71" i="7"/>
  <c r="D71" i="7"/>
  <c r="C72" i="7"/>
  <c r="D72" i="7"/>
  <c r="C73" i="7"/>
  <c r="D73" i="7"/>
  <c r="C74" i="7"/>
  <c r="D74" i="7"/>
  <c r="C75" i="7"/>
  <c r="D75" i="7"/>
  <c r="C76" i="7"/>
  <c r="D76" i="7"/>
  <c r="C77" i="7"/>
  <c r="D77" i="7"/>
  <c r="C78" i="7"/>
  <c r="D78" i="7"/>
  <c r="C79" i="7"/>
  <c r="D79" i="7"/>
  <c r="C80" i="7"/>
  <c r="D80" i="7"/>
  <c r="C81" i="7"/>
  <c r="D81" i="7" s="1"/>
  <c r="F28" i="23"/>
  <c r="F30" i="23" s="1"/>
  <c r="D28" i="23" l="1"/>
  <c r="K22" i="23" l="1"/>
  <c r="E29" i="23" s="1"/>
  <c r="D29" i="23" l="1"/>
  <c r="D30" i="23" s="1"/>
  <c r="E30" i="23" l="1"/>
  <c r="J23" i="23" l="1"/>
  <c r="J22" i="23"/>
  <c r="J21" i="23"/>
  <c r="D19" i="23" l="1"/>
  <c r="E19" i="23" s="1"/>
  <c r="F19" i="23" s="1"/>
  <c r="G19" i="23" s="1"/>
  <c r="H19" i="23" s="1"/>
  <c r="I19" i="23" s="1"/>
  <c r="D4" i="23"/>
  <c r="E4" i="23" s="1"/>
  <c r="F4" i="23" s="1"/>
  <c r="G4" i="23" s="1"/>
  <c r="C30" i="23" l="1"/>
</calcChain>
</file>

<file path=xl/sharedStrings.xml><?xml version="1.0" encoding="utf-8"?>
<sst xmlns="http://schemas.openxmlformats.org/spreadsheetml/2006/main" count="191" uniqueCount="99">
  <si>
    <t>млн.руб.</t>
  </si>
  <si>
    <t>Отчетная дата</t>
  </si>
  <si>
    <t>Всего</t>
  </si>
  <si>
    <t>добыча полезных ископаемых</t>
  </si>
  <si>
    <t>из них:</t>
  </si>
  <si>
    <t>обрабатывающие производства</t>
  </si>
  <si>
    <t>производство и распределение электроэнергии, газа и воды</t>
  </si>
  <si>
    <t>сельское хозяйство, охота и лесное хозяйство</t>
  </si>
  <si>
    <t>строительство</t>
  </si>
  <si>
    <t>транспорт и связь</t>
  </si>
  <si>
    <t>оптовая и розничная торговля; ремонт автотранспортных средств, мотоциклов, бытовых изделий и предметов личного пользования</t>
  </si>
  <si>
    <t>операции с недвижимым имуществом, аренда и предоставление услуг</t>
  </si>
  <si>
    <t>прочие виды деятельности</t>
  </si>
  <si>
    <t>на завершение расчетов</t>
  </si>
  <si>
    <t>добыча топливно-энергетических полезных ископаемых</t>
  </si>
  <si>
    <t>производство пищевых продуктов, включая напитки, и табака</t>
  </si>
  <si>
    <t>обработка древесины и производство изделий из дерева</t>
  </si>
  <si>
    <t>целлюлозно-бумажное производство; издательская и полиграфическая деятельность</t>
  </si>
  <si>
    <t>производство кокса, нефтепродуктов и ядерных материалов</t>
  </si>
  <si>
    <t>химическое производство</t>
  </si>
  <si>
    <t>производство прочих неметаллических минеральных продуктов</t>
  </si>
  <si>
    <t>металлургическое производство и производство готовых металлических изделий</t>
  </si>
  <si>
    <t>производство машин и оборудования</t>
  </si>
  <si>
    <t>производство транспортных средств и оборудования</t>
  </si>
  <si>
    <t>сельское хозяйство, охота и предоставление услуг в этих областях</t>
  </si>
  <si>
    <t>строительство зданий и сооружений</t>
  </si>
  <si>
    <t>деятельность воздушного транспорта, подчиняющегося и не подчиняющегося расписанию</t>
  </si>
  <si>
    <t>производство машин и оборудования для сельского и лесного хозяйства</t>
  </si>
  <si>
    <t>производство автомобилей</t>
  </si>
  <si>
    <t>Просроченная 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</t>
  </si>
  <si>
    <t>Просроченная задолженность по кредитам</t>
  </si>
  <si>
    <t>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</t>
  </si>
  <si>
    <t>Задолженность по кредитам</t>
  </si>
  <si>
    <t xml:space="preserve">Виды экономической деятельности и отдельные направления использования средств </t>
  </si>
  <si>
    <t>ВСЕГО</t>
  </si>
  <si>
    <t>добыча полезных ископаемых, из них:</t>
  </si>
  <si>
    <t xml:space="preserve">        добыча топливно-энергетических полезных ископаемых</t>
  </si>
  <si>
    <t>обрабатывающие производства, из них:</t>
  </si>
  <si>
    <t xml:space="preserve">        производство пищевых продуктов, включая напитки, и табака</t>
  </si>
  <si>
    <t xml:space="preserve">        обработка древесины и производство изделий из дерева</t>
  </si>
  <si>
    <t xml:space="preserve">        целлюлозно-бумажное производство, издательская и полиграфическая деятельность</t>
  </si>
  <si>
    <t xml:space="preserve">        производство кокса, нефтепродуктов и ядерных материалов</t>
  </si>
  <si>
    <t xml:space="preserve">        химическое производство</t>
  </si>
  <si>
    <t xml:space="preserve">        производство прочих неметаллических минеральных продуктов</t>
  </si>
  <si>
    <t xml:space="preserve">        металлургическое производство и производство готовых металлических изделий</t>
  </si>
  <si>
    <t xml:space="preserve">        производство машин и оборудования, из них:</t>
  </si>
  <si>
    <t xml:space="preserve">                производство машин и оборудования для сельского и лесного хозяйства</t>
  </si>
  <si>
    <t xml:space="preserve">        производство транспортных средств и оборудования, из них:</t>
  </si>
  <si>
    <t xml:space="preserve">                производство автомобилей</t>
  </si>
  <si>
    <t>сельское хозяйство, охота и лесное хозяйство, из них:</t>
  </si>
  <si>
    <t xml:space="preserve">        сельское хозяйство, охота и предоставление услуг в этих областях</t>
  </si>
  <si>
    <t>строительство, из них:</t>
  </si>
  <si>
    <t xml:space="preserve">        строительство зданий и сооружений</t>
  </si>
  <si>
    <t>транспорт и связь, из них:</t>
  </si>
  <si>
    <t xml:space="preserve">        деятельность воздушного транспорта, подчиняющегося и не подчиняющегося расписанию</t>
  </si>
  <si>
    <t>оптовая и розничная торговля, ремонт автотранспортных средств, мотоциклов, бытовых изделий и предметов личного пользования</t>
  </si>
  <si>
    <t>Источник:</t>
  </si>
  <si>
    <t>Просроченная 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 | Банк России (cbr.ru)</t>
  </si>
  <si>
    <t>https://cbr.ru/vfs/statistics/BankSector/Loans_to_corporations/01_02_A_Debt_corp_by_activity.xlsx</t>
  </si>
  <si>
    <t>прогнозы Минэкономразвития</t>
  </si>
  <si>
    <t>отчет</t>
  </si>
  <si>
    <t>прогноз</t>
  </si>
  <si>
    <t>Темп роста ВВП</t>
  </si>
  <si>
    <t>базовый</t>
  </si>
  <si>
    <t>прогнозы ЦБ</t>
  </si>
  <si>
    <t>базовый сценарий</t>
  </si>
  <si>
    <t>Ключевая ставка, в среднем за год, % годовых</t>
  </si>
  <si>
    <t>ускоренная адаптация</t>
  </si>
  <si>
    <t>глобальный кризис</t>
  </si>
  <si>
    <t>Исходные данные по прогнозам</t>
  </si>
  <si>
    <t>консервативный</t>
  </si>
  <si>
    <t>Взвешенное значение прогноза в соответствии с базовым и консервативным сценарием</t>
  </si>
  <si>
    <t>Базовый сценарий</t>
  </si>
  <si>
    <t>Сценарий</t>
  </si>
  <si>
    <t>Консервативный сценарий</t>
  </si>
  <si>
    <t>Вес сценария*</t>
  </si>
  <si>
    <t xml:space="preserve"> *веса сценариев определяются экспертно на основе доступно информации о прогнозах аналитиков и экспертов о развитии экономики</t>
  </si>
  <si>
    <t>Итого</t>
  </si>
  <si>
    <t>Ключевая ставка</t>
  </si>
  <si>
    <t>средние на 2024</t>
  </si>
  <si>
    <t>7,5%-8,5%</t>
  </si>
  <si>
    <t>средние на 2025</t>
  </si>
  <si>
    <t>18,8%-19,6%</t>
  </si>
  <si>
    <t>12%-13%</t>
  </si>
  <si>
    <t>16%-18%</t>
  </si>
  <si>
    <t>18%-20%</t>
  </si>
  <si>
    <t>10%-11%</t>
  </si>
  <si>
    <t>https://www.economy.gov.ru/material/directions/makroec/prognozy_socialno_ekonomicheskogo_razvitiya/prognoz_socialno_ekonomicheskogo_razvitiya_rf_na_2026_god_i_na_planovyy_period_2027_i_2028_godov.html</t>
  </si>
  <si>
    <t>10,5%-11,5%</t>
  </si>
  <si>
    <t>С учетом того что с 1 января по 27 июля 2025 года средняя ключевая ставка была равна 20,8%, с 28 июля до конца 2025 года средняя ключевая ставка прогнозируется в диапазоне 16,3 – 18,0%. Дополнительная информация о формате прогноза ключевой ставки представлена в методологическом комментарии</t>
  </si>
  <si>
    <t>2026 год</t>
  </si>
  <si>
    <t>средние на 2026</t>
  </si>
  <si>
    <t>6,5–7,0</t>
  </si>
  <si>
    <t>4,0-5,0</t>
  </si>
  <si>
    <t>3,5–4,5</t>
  </si>
  <si>
    <t>10,5–12,5</t>
  </si>
  <si>
    <t>8,0–10,0</t>
  </si>
  <si>
    <t>4,0-4,5</t>
  </si>
  <si>
    <t>Инфляция,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</si>
</sst>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\ ##0"/>
    <numFmt numFmtId="165" formatCode="dd\.mm\.yyyy"/>
    <numFmt numFmtId="166" formatCode="#,##0;\-#,##0;0"/>
    <numFmt numFmtId="168" formatCode="0.0%"/>
    <numFmt numFmtId="170" formatCode="0_)"/>
    <numFmt numFmtId="171" formatCode="General_)"/>
    <numFmt numFmtId="172" formatCode="_-* #,##0_-;\-* #,##0_-;_-* &quot;-&quot;??_-;_-@_-"/>
  </numFmts>
  <fonts count="2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Helv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9" fontId="4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11" fillId="0" borderId="0"/>
    <xf numFmtId="0" fontId="13" fillId="0" borderId="0"/>
    <xf numFmtId="0" fontId="11" fillId="0" borderId="0"/>
    <xf numFmtId="0" fontId="14" fillId="0" borderId="0"/>
    <xf numFmtId="0" fontId="13" fillId="0" borderId="0"/>
    <xf numFmtId="0" fontId="16" fillId="0" borderId="0"/>
    <xf numFmtId="0" fontId="17" fillId="0" borderId="0"/>
    <xf numFmtId="0" fontId="4" fillId="0" borderId="0"/>
    <xf numFmtId="0" fontId="4" fillId="0" borderId="0"/>
    <xf numFmtId="0" fontId="11" fillId="0" borderId="0">
      <alignment vertical="top"/>
    </xf>
    <xf numFmtId="170" fontId="18" fillId="0" borderId="0"/>
    <xf numFmtId="170" fontId="18" fillId="0" borderId="0"/>
    <xf numFmtId="170" fontId="18" fillId="0" borderId="0"/>
    <xf numFmtId="171" fontId="11" fillId="0" borderId="0"/>
    <xf numFmtId="0" fontId="18" fillId="0" borderId="0">
      <alignment vertical="top"/>
    </xf>
    <xf numFmtId="43" fontId="4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2" xfId="0" applyFont="1" applyFill="1" applyBorder="1" applyAlignment="1">
      <alignment vertical="top" wrapText="1"/>
    </xf>
    <xf numFmtId="14" fontId="0" fillId="2" borderId="2" xfId="0" applyNumberFormat="1" applyFill="1" applyBorder="1"/>
    <xf numFmtId="0" fontId="0" fillId="2" borderId="2" xfId="0" applyFill="1" applyBorder="1"/>
    <xf numFmtId="164" fontId="0" fillId="2" borderId="2" xfId="0" applyNumberFormat="1" applyFill="1" applyBorder="1"/>
    <xf numFmtId="14" fontId="8" fillId="2" borderId="2" xfId="0" applyNumberFormat="1" applyFont="1" applyFill="1" applyBorder="1"/>
    <xf numFmtId="0" fontId="9" fillId="2" borderId="0" xfId="0" applyFont="1" applyFill="1"/>
    <xf numFmtId="49" fontId="6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right" vertical="center" wrapText="1"/>
    </xf>
    <xf numFmtId="0" fontId="10" fillId="2" borderId="0" xfId="3" applyFill="1"/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4" borderId="0" xfId="0" applyFill="1"/>
    <xf numFmtId="0" fontId="10" fillId="0" borderId="0" xfId="3"/>
    <xf numFmtId="10" fontId="0" fillId="0" borderId="0" xfId="0" applyNumberFormat="1"/>
    <xf numFmtId="9" fontId="0" fillId="0" borderId="0" xfId="0" applyNumberFormat="1"/>
    <xf numFmtId="0" fontId="0" fillId="0" borderId="2" xfId="0" applyBorder="1"/>
    <xf numFmtId="0" fontId="0" fillId="0" borderId="3" xfId="0" applyBorder="1"/>
    <xf numFmtId="0" fontId="8" fillId="0" borderId="4" xfId="0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1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0" xfId="0" applyFont="1"/>
    <xf numFmtId="0" fontId="8" fillId="0" borderId="2" xfId="0" applyFont="1" applyBorder="1"/>
    <xf numFmtId="10" fontId="0" fillId="4" borderId="2" xfId="1" applyNumberFormat="1" applyFont="1" applyFill="1" applyBorder="1"/>
    <xf numFmtId="165" fontId="6" fillId="5" borderId="1" xfId="0" applyNumberFormat="1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right" vertical="center" wrapText="1"/>
    </xf>
    <xf numFmtId="166" fontId="15" fillId="3" borderId="1" xfId="0" applyNumberFormat="1" applyFont="1" applyFill="1" applyBorder="1" applyAlignment="1">
      <alignment horizontal="right" vertical="center" wrapText="1"/>
    </xf>
    <xf numFmtId="0" fontId="10" fillId="2" borderId="0" xfId="3" applyFill="1" applyAlignment="1">
      <alignment horizontal="left" vertical="center"/>
    </xf>
    <xf numFmtId="165" fontId="19" fillId="3" borderId="1" xfId="0" applyNumberFormat="1" applyFont="1" applyFill="1" applyBorder="1" applyAlignment="1">
      <alignment horizontal="center" vertical="center" wrapText="1"/>
    </xf>
    <xf numFmtId="166" fontId="20" fillId="3" borderId="1" xfId="0" applyNumberFormat="1" applyFont="1" applyFill="1" applyBorder="1" applyAlignment="1">
      <alignment horizontal="right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0" fillId="0" borderId="9" xfId="0" applyBorder="1"/>
    <xf numFmtId="0" fontId="0" fillId="0" borderId="10" xfId="0" applyBorder="1"/>
    <xf numFmtId="10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172" fontId="7" fillId="3" borderId="1" xfId="19" applyNumberFormat="1" applyFont="1" applyFill="1" applyBorder="1" applyAlignment="1">
      <alignment horizontal="right" vertical="center" wrapText="1"/>
    </xf>
    <xf numFmtId="172" fontId="0" fillId="2" borderId="0" xfId="19" applyNumberFormat="1" applyFont="1" applyFill="1"/>
    <xf numFmtId="0" fontId="0" fillId="4" borderId="2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7" borderId="0" xfId="0" applyFill="1"/>
    <xf numFmtId="10" fontId="0" fillId="7" borderId="0" xfId="0" applyNumberFormat="1" applyFill="1"/>
    <xf numFmtId="10" fontId="7" fillId="3" borderId="1" xfId="1" applyNumberFormat="1" applyFont="1" applyFill="1" applyBorder="1" applyAlignment="1">
      <alignment horizontal="right" vertical="center" wrapText="1"/>
    </xf>
    <xf numFmtId="168" fontId="0" fillId="0" borderId="0" xfId="1" applyNumberFormat="1" applyFont="1"/>
    <xf numFmtId="49" fontId="7" fillId="9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3" fillId="8" borderId="2" xfId="0" applyFont="1" applyFill="1" applyBorder="1" applyAlignment="1">
      <alignment vertical="top" wrapText="1"/>
    </xf>
    <xf numFmtId="0" fontId="0" fillId="0" borderId="4" xfId="0" applyBorder="1"/>
    <xf numFmtId="168" fontId="0" fillId="0" borderId="2" xfId="1" applyNumberFormat="1" applyFont="1" applyBorder="1"/>
    <xf numFmtId="168" fontId="0" fillId="7" borderId="0" xfId="0" applyNumberFormat="1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8" borderId="2" xfId="0" applyFont="1" applyFill="1" applyBorder="1" applyAlignment="1">
      <alignment vertical="top" wrapText="1"/>
    </xf>
    <xf numFmtId="0" fontId="0" fillId="8" borderId="2" xfId="0" applyFill="1" applyBorder="1"/>
    <xf numFmtId="0" fontId="3" fillId="2" borderId="2" xfId="0" applyFont="1" applyFill="1" applyBorder="1" applyAlignment="1">
      <alignment vertical="top" wrapText="1"/>
    </xf>
    <xf numFmtId="0" fontId="0" fillId="2" borderId="2" xfId="0" applyFill="1" applyBorder="1"/>
  </cellXfs>
  <cellStyles count="20">
    <cellStyle name="Normal 2" xfId="2" xr:uid="{00000000-0005-0000-0000-000002000000}"/>
    <cellStyle name="Normal 3" xfId="5" xr:uid="{00000000-0005-0000-0000-000003000000}"/>
    <cellStyle name="Гиперссылка" xfId="3" builtinId="8"/>
    <cellStyle name="Обычный" xfId="0" builtinId="0"/>
    <cellStyle name="Обычный 100" xfId="6" xr:uid="{00000000-0005-0000-0000-000005000000}"/>
    <cellStyle name="Обычный 118" xfId="17" xr:uid="{DDE4E1C8-CE87-4326-A824-6B34592557ED}"/>
    <cellStyle name="Обычный 120" xfId="18" xr:uid="{9EF8596C-620D-4FEE-9026-7C499B1DA573}"/>
    <cellStyle name="Обычный 140 3 2" xfId="12" xr:uid="{BAECC637-469D-496D-AA30-F89D51045E3A}"/>
    <cellStyle name="Обычный 2" xfId="8" xr:uid="{FC97AF8B-83D4-42BA-B7F3-9DB55DB55270}"/>
    <cellStyle name="Обычный 2 2" xfId="16" xr:uid="{3884A531-679B-4A31-A78C-F8D1163CA47B}"/>
    <cellStyle name="Обычный 2 3" xfId="4" xr:uid="{00000000-0005-0000-0000-000006000000}"/>
    <cellStyle name="Обычный 2 3 2" xfId="11" xr:uid="{3CCE2C85-A46B-4888-B48D-4F33E3F64CED}"/>
    <cellStyle name="Обычный 25 2" xfId="15" xr:uid="{F129D326-3653-4E1F-8DEB-4BB478B12259}"/>
    <cellStyle name="Обычный 28 2" xfId="13" xr:uid="{AC704A04-EC2E-44F8-9B4B-5E65BB8482D2}"/>
    <cellStyle name="Обычный 3" xfId="9" xr:uid="{B18FD45D-9F84-416B-BD9B-BCBE9D88333A}"/>
    <cellStyle name="Обычный 4" xfId="14" xr:uid="{DF63CC8E-F857-4E08-9062-64540E926697}"/>
    <cellStyle name="Обычный 5" xfId="10" xr:uid="{6A0EDFD1-2B81-42CF-B43D-85E88818DCA3}"/>
    <cellStyle name="Процентный" xfId="1" builtinId="5"/>
    <cellStyle name="Стиль 1 2" xfId="7" xr:uid="{00000000-0005-0000-0000-000007000000}"/>
    <cellStyle name="Финансовый" xfId="19" builtinId="3"/>
  </cellStyles>
  <dxfs count="0"/>
  <tableStyles count="0" defaultTableStyle="TableStyleMedium2" defaultPivotStyle="PivotStyleLight16"/>
  <colors>
    <mruColors>
      <color rgb="FFDAF6F2"/>
      <color rgb="FFE9F5DB"/>
      <color rgb="FFDD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br.ru/vfs/statistics/BankSector/Loans_to_corporations/01_02_A_Debt_corp_by_activity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br.ru/vfs/statistics/BankSector/Loans_to_corporations/01_02_A_Debt_corp_by_activit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3"/>
  <sheetViews>
    <sheetView showGridLines="0" workbookViewId="0">
      <selection activeCell="G30" sqref="G30"/>
    </sheetView>
  </sheetViews>
  <sheetFormatPr defaultRowHeight="15" x14ac:dyDescent="0.25"/>
  <cols>
    <col min="2" max="2" width="24.85546875" customWidth="1"/>
    <col min="3" max="3" width="15.42578125" customWidth="1"/>
    <col min="4" max="4" width="16" customWidth="1"/>
    <col min="5" max="5" width="16.140625" customWidth="1"/>
    <col min="6" max="6" width="11" customWidth="1"/>
    <col min="7" max="7" width="15.140625" customWidth="1"/>
    <col min="8" max="8" width="19.42578125" customWidth="1"/>
    <col min="9" max="9" width="16.7109375" customWidth="1"/>
    <col min="10" max="10" width="10.85546875" customWidth="1"/>
  </cols>
  <sheetData>
    <row r="2" spans="2:10" x14ac:dyDescent="0.25">
      <c r="B2" s="17" t="s">
        <v>69</v>
      </c>
      <c r="C2" s="17"/>
      <c r="D2" s="17" t="s">
        <v>87</v>
      </c>
      <c r="E2" s="17"/>
      <c r="F2" s="17"/>
      <c r="G2" s="17"/>
      <c r="H2" s="17"/>
      <c r="I2" s="17"/>
      <c r="J2" s="17"/>
    </row>
    <row r="3" spans="2:10" x14ac:dyDescent="0.25">
      <c r="B3" t="s">
        <v>59</v>
      </c>
      <c r="D3" s="18"/>
    </row>
    <row r="4" spans="2:10" x14ac:dyDescent="0.25">
      <c r="C4" s="21">
        <v>2022</v>
      </c>
      <c r="D4" s="21">
        <f>C4+1</f>
        <v>2023</v>
      </c>
      <c r="E4" s="21">
        <f t="shared" ref="E4:G4" si="0">D4+1</f>
        <v>2024</v>
      </c>
      <c r="F4" s="21">
        <f t="shared" si="0"/>
        <v>2025</v>
      </c>
      <c r="G4" s="21">
        <f t="shared" si="0"/>
        <v>2026</v>
      </c>
      <c r="H4" s="21">
        <v>2027</v>
      </c>
      <c r="I4" s="21">
        <v>2028</v>
      </c>
    </row>
    <row r="5" spans="2:10" x14ac:dyDescent="0.25">
      <c r="C5" s="58" t="s">
        <v>60</v>
      </c>
      <c r="D5" s="59"/>
      <c r="E5" s="60"/>
      <c r="F5" s="61" t="s">
        <v>61</v>
      </c>
      <c r="G5" s="62"/>
      <c r="H5" s="62"/>
      <c r="I5" s="62"/>
    </row>
    <row r="6" spans="2:10" x14ac:dyDescent="0.25">
      <c r="B6" s="23" t="s">
        <v>62</v>
      </c>
      <c r="C6" s="24"/>
      <c r="D6" s="24"/>
      <c r="E6" s="24"/>
      <c r="F6" s="40"/>
      <c r="G6" s="41"/>
    </row>
    <row r="7" spans="2:10" x14ac:dyDescent="0.25">
      <c r="B7" s="21" t="s">
        <v>63</v>
      </c>
      <c r="C7" s="26">
        <v>0.97899999999999998</v>
      </c>
      <c r="D7" s="26">
        <v>1.028295</v>
      </c>
      <c r="E7" s="26">
        <v>1.0429999999999999</v>
      </c>
      <c r="F7" s="42">
        <v>1.0103</v>
      </c>
      <c r="G7" s="26">
        <v>1.01312</v>
      </c>
      <c r="H7" s="26">
        <v>1.0282</v>
      </c>
      <c r="I7" s="26">
        <v>1.0250999999999999</v>
      </c>
    </row>
    <row r="8" spans="2:10" x14ac:dyDescent="0.25">
      <c r="B8" s="21" t="s">
        <v>70</v>
      </c>
      <c r="C8" s="26">
        <v>0.97899999999999998</v>
      </c>
      <c r="D8" s="26">
        <v>1.026</v>
      </c>
      <c r="E8" s="26">
        <v>1.0429999999999999</v>
      </c>
      <c r="F8" s="42">
        <v>1.0103</v>
      </c>
      <c r="G8" s="26">
        <v>1.008</v>
      </c>
      <c r="H8" s="26">
        <v>1.0149999999999999</v>
      </c>
      <c r="I8" s="26">
        <v>1.0189999999999999</v>
      </c>
    </row>
    <row r="11" spans="2:10" x14ac:dyDescent="0.25">
      <c r="C11" s="21">
        <v>2025</v>
      </c>
      <c r="D11" s="21">
        <v>2026</v>
      </c>
      <c r="E11" s="21">
        <v>2027</v>
      </c>
      <c r="F11" s="21">
        <v>2028</v>
      </c>
      <c r="G11" s="30" t="s">
        <v>81</v>
      </c>
      <c r="H11" s="30" t="s">
        <v>91</v>
      </c>
    </row>
    <row r="12" spans="2:10" x14ac:dyDescent="0.25">
      <c r="B12" s="23" t="s">
        <v>66</v>
      </c>
      <c r="C12" s="21"/>
      <c r="D12" s="21"/>
      <c r="E12" s="21"/>
      <c r="F12" s="21"/>
      <c r="G12" s="21"/>
      <c r="H12" s="21"/>
    </row>
    <row r="13" spans="2:10" x14ac:dyDescent="0.25">
      <c r="B13" s="55" t="s">
        <v>65</v>
      </c>
      <c r="C13" s="43" t="s">
        <v>92</v>
      </c>
      <c r="D13" s="46" t="s">
        <v>93</v>
      </c>
      <c r="E13" s="28">
        <v>4</v>
      </c>
      <c r="F13" s="28">
        <v>4</v>
      </c>
      <c r="G13" s="31">
        <f>AVERAGE(6.5%,7%)</f>
        <v>6.7500000000000004E-2</v>
      </c>
      <c r="H13" s="56">
        <f>AVERAGE(4.5%,5%)</f>
        <v>4.7500000000000001E-2</v>
      </c>
    </row>
    <row r="14" spans="2:10" x14ac:dyDescent="0.25">
      <c r="B14" s="55" t="s">
        <v>67</v>
      </c>
      <c r="C14" s="43" t="s">
        <v>92</v>
      </c>
      <c r="D14" s="46" t="s">
        <v>94</v>
      </c>
      <c r="E14" s="28">
        <v>4</v>
      </c>
      <c r="F14" s="28">
        <v>4</v>
      </c>
      <c r="G14" s="31">
        <f t="shared" ref="G14:G15" si="1">AVERAGE(6.5%,7%)</f>
        <v>6.7500000000000004E-2</v>
      </c>
      <c r="H14" s="56">
        <f>AVERAGE(3.5%,4.5%)</f>
        <v>0.04</v>
      </c>
    </row>
    <row r="15" spans="2:10" x14ac:dyDescent="0.25">
      <c r="B15" s="55" t="s">
        <v>68</v>
      </c>
      <c r="C15" s="43" t="s">
        <v>92</v>
      </c>
      <c r="D15" s="46" t="s">
        <v>95</v>
      </c>
      <c r="E15" s="28" t="s">
        <v>96</v>
      </c>
      <c r="F15" s="28" t="s">
        <v>97</v>
      </c>
      <c r="G15" s="31">
        <f t="shared" si="1"/>
        <v>6.7500000000000004E-2</v>
      </c>
      <c r="H15" s="56">
        <f>AVERAGE(10.5%,12.5%)</f>
        <v>0.11499999999999999</v>
      </c>
    </row>
    <row r="18" spans="2:12" x14ac:dyDescent="0.25">
      <c r="B18" t="s">
        <v>64</v>
      </c>
      <c r="D18" s="18"/>
    </row>
    <row r="19" spans="2:12" x14ac:dyDescent="0.25">
      <c r="C19" s="22">
        <v>2022</v>
      </c>
      <c r="D19" s="22">
        <f>C19+1</f>
        <v>2023</v>
      </c>
      <c r="E19" s="22">
        <f t="shared" ref="E19:I19" si="2">D19+1</f>
        <v>2024</v>
      </c>
      <c r="F19" s="22">
        <f t="shared" si="2"/>
        <v>2025</v>
      </c>
      <c r="G19" s="22">
        <f t="shared" si="2"/>
        <v>2026</v>
      </c>
      <c r="H19" s="21">
        <f t="shared" si="2"/>
        <v>2027</v>
      </c>
      <c r="I19" s="22">
        <f t="shared" si="2"/>
        <v>2028</v>
      </c>
      <c r="J19" s="30" t="s">
        <v>79</v>
      </c>
      <c r="K19" s="30" t="s">
        <v>81</v>
      </c>
      <c r="L19" s="30" t="s">
        <v>91</v>
      </c>
    </row>
    <row r="20" spans="2:12" x14ac:dyDescent="0.25">
      <c r="B20" s="23" t="s">
        <v>66</v>
      </c>
      <c r="C20" s="24"/>
      <c r="D20" s="24"/>
      <c r="E20" s="24"/>
      <c r="F20" s="24"/>
      <c r="G20" s="25"/>
    </row>
    <row r="21" spans="2:12" x14ac:dyDescent="0.25">
      <c r="B21" s="21" t="s">
        <v>65</v>
      </c>
      <c r="C21" s="27">
        <v>0.106</v>
      </c>
      <c r="D21" s="27">
        <v>9.9000000000000005E-2</v>
      </c>
      <c r="E21" s="27">
        <v>0.17499999999999999</v>
      </c>
      <c r="F21" s="43" t="s">
        <v>82</v>
      </c>
      <c r="G21" s="28" t="s">
        <v>83</v>
      </c>
      <c r="H21" s="28" t="s">
        <v>80</v>
      </c>
      <c r="I21" s="28" t="s">
        <v>80</v>
      </c>
      <c r="J21" s="31">
        <f>AVERAGE(17.5%)</f>
        <v>0.17499999999999999</v>
      </c>
      <c r="K21" s="31">
        <f>AVERAGE(18.8%,19.6%)</f>
        <v>0.192</v>
      </c>
      <c r="L21" s="51">
        <f>AVERAGE(12%,13%)</f>
        <v>0.125</v>
      </c>
    </row>
    <row r="22" spans="2:12" x14ac:dyDescent="0.25">
      <c r="B22" s="21" t="s">
        <v>67</v>
      </c>
      <c r="C22" s="27">
        <v>0.106</v>
      </c>
      <c r="D22" s="27">
        <v>9.9000000000000005E-2</v>
      </c>
      <c r="E22" s="27">
        <v>0.17499999999999999</v>
      </c>
      <c r="F22" s="43" t="s">
        <v>82</v>
      </c>
      <c r="G22" s="46" t="s">
        <v>88</v>
      </c>
      <c r="H22" s="28" t="s">
        <v>80</v>
      </c>
      <c r="I22" s="28" t="s">
        <v>80</v>
      </c>
      <c r="J22" s="31">
        <f>AVERAGE(17.5%)</f>
        <v>0.17499999999999999</v>
      </c>
      <c r="K22" s="31">
        <f>AVERAGE(18.8%,19.6%)</f>
        <v>0.192</v>
      </c>
      <c r="L22" s="51">
        <f>AVERAGE(10.5%,11.5%)</f>
        <v>0.11</v>
      </c>
    </row>
    <row r="23" spans="2:12" x14ac:dyDescent="0.25">
      <c r="B23" s="21" t="s">
        <v>68</v>
      </c>
      <c r="C23" s="27">
        <v>0.106</v>
      </c>
      <c r="D23" s="27">
        <v>9.9000000000000005E-2</v>
      </c>
      <c r="E23" s="27">
        <v>0.17499999999999999</v>
      </c>
      <c r="F23" s="43" t="s">
        <v>82</v>
      </c>
      <c r="G23" s="28" t="s">
        <v>84</v>
      </c>
      <c r="H23" s="28" t="s">
        <v>85</v>
      </c>
      <c r="I23" t="s">
        <v>86</v>
      </c>
      <c r="J23" s="31">
        <f>AVERAGE(17.5%)</f>
        <v>0.17499999999999999</v>
      </c>
      <c r="K23" s="31">
        <f>AVERAGE(18.8%,19.6%)</f>
        <v>0.192</v>
      </c>
      <c r="L23" s="51">
        <f>AVERAGE(16%,18%)</f>
        <v>0.16999999999999998</v>
      </c>
    </row>
    <row r="25" spans="2:12" x14ac:dyDescent="0.25">
      <c r="B25" s="17" t="s">
        <v>71</v>
      </c>
      <c r="C25" s="17"/>
      <c r="D25" s="17"/>
      <c r="E25" s="17"/>
      <c r="F25" s="17"/>
      <c r="G25" s="17"/>
      <c r="H25" s="17"/>
      <c r="I25" s="17"/>
      <c r="J25" s="17"/>
    </row>
    <row r="26" spans="2:12" x14ac:dyDescent="0.25">
      <c r="C26" s="47"/>
      <c r="F26" s="48" t="s">
        <v>90</v>
      </c>
      <c r="G26" s="48"/>
    </row>
    <row r="27" spans="2:12" x14ac:dyDescent="0.25">
      <c r="B27" t="s">
        <v>73</v>
      </c>
      <c r="C27" t="s">
        <v>75</v>
      </c>
      <c r="D27" t="s">
        <v>62</v>
      </c>
      <c r="E27" t="s">
        <v>78</v>
      </c>
      <c r="F27" s="48" t="s">
        <v>62</v>
      </c>
      <c r="G27" s="48" t="s">
        <v>78</v>
      </c>
      <c r="H27" s="48" t="s">
        <v>98</v>
      </c>
    </row>
    <row r="28" spans="2:12" x14ac:dyDescent="0.25">
      <c r="B28" t="s">
        <v>72</v>
      </c>
      <c r="C28" s="20">
        <v>0.5</v>
      </c>
      <c r="D28" s="19">
        <f>F7</f>
        <v>1.0103</v>
      </c>
      <c r="E28" s="19">
        <f>K21</f>
        <v>0.192</v>
      </c>
      <c r="F28" s="49">
        <f>G7</f>
        <v>1.01312</v>
      </c>
      <c r="G28" s="49">
        <v>0.125</v>
      </c>
      <c r="H28" s="57">
        <f>H13</f>
        <v>4.7500000000000001E-2</v>
      </c>
    </row>
    <row r="29" spans="2:12" x14ac:dyDescent="0.25">
      <c r="B29" t="s">
        <v>74</v>
      </c>
      <c r="C29" s="20">
        <v>0.5</v>
      </c>
      <c r="D29" s="19">
        <f>F8</f>
        <v>1.0103</v>
      </c>
      <c r="E29" s="19">
        <f>K22</f>
        <v>0.192</v>
      </c>
      <c r="F29" s="49">
        <f>G8</f>
        <v>1.008</v>
      </c>
      <c r="G29" s="49">
        <f>L23</f>
        <v>0.16999999999999998</v>
      </c>
      <c r="H29" s="57">
        <f>H15</f>
        <v>0.11499999999999999</v>
      </c>
    </row>
    <row r="30" spans="2:12" x14ac:dyDescent="0.25">
      <c r="B30" t="s">
        <v>77</v>
      </c>
      <c r="C30" s="20">
        <f>SUM(C28:C29)</f>
        <v>1</v>
      </c>
      <c r="D30" s="19">
        <f>C28*D28+C29*D29</f>
        <v>1.0103</v>
      </c>
      <c r="E30" s="19">
        <f>C28*E28+C29*E29</f>
        <v>0.192</v>
      </c>
      <c r="F30" s="49">
        <f>C28*F28+C29*F29</f>
        <v>1.0105599999999999</v>
      </c>
      <c r="G30" s="49">
        <f>C28*G28+C29*G29</f>
        <v>0.14749999999999999</v>
      </c>
      <c r="H30" s="49">
        <f>C28*H28+C29*H29</f>
        <v>8.1249999999999989E-2</v>
      </c>
    </row>
    <row r="31" spans="2:12" x14ac:dyDescent="0.25">
      <c r="B31" s="29" t="s">
        <v>76</v>
      </c>
    </row>
    <row r="33" spans="2:2" x14ac:dyDescent="0.25">
      <c r="B33" t="s">
        <v>89</v>
      </c>
    </row>
  </sheetData>
  <mergeCells count="2">
    <mergeCell ref="C5:E5"/>
    <mergeCell ref="F5:I5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"/>
  <sheetViews>
    <sheetView showGridLines="0" workbookViewId="0">
      <selection activeCell="H30" sqref="H3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25"/>
  <sheetViews>
    <sheetView zoomScaleNormal="100" workbookViewId="0">
      <selection activeCell="B9" sqref="B9"/>
    </sheetView>
  </sheetViews>
  <sheetFormatPr defaultColWidth="8.7109375" defaultRowHeight="15" x14ac:dyDescent="0.25"/>
  <cols>
    <col min="1" max="1" width="22.7109375" style="1" customWidth="1"/>
    <col min="2" max="2" width="14.7109375" style="1" customWidth="1"/>
    <col min="3" max="4" width="15.42578125" style="1" customWidth="1"/>
    <col min="5" max="5" width="16.7109375" style="1" customWidth="1"/>
    <col min="6" max="6" width="16.85546875" style="1" customWidth="1"/>
    <col min="7" max="7" width="16.42578125" style="1" customWidth="1"/>
    <col min="8" max="9" width="16.140625" style="1" customWidth="1"/>
    <col min="10" max="10" width="17.140625" style="1" customWidth="1"/>
    <col min="11" max="11" width="16.42578125" style="1" customWidth="1"/>
    <col min="12" max="12" width="16" style="1" customWidth="1"/>
    <col min="13" max="13" width="17.42578125" style="1" customWidth="1"/>
    <col min="14" max="14" width="15.42578125" style="1" customWidth="1"/>
    <col min="15" max="15" width="16" style="1" customWidth="1"/>
    <col min="16" max="16" width="17.5703125" style="1" customWidth="1"/>
    <col min="17" max="17" width="20.5703125" style="1" customWidth="1"/>
    <col min="18" max="18" width="16.85546875" style="1" customWidth="1"/>
    <col min="19" max="19" width="21.85546875" style="1" customWidth="1"/>
    <col min="20" max="20" width="20.7109375" style="1" customWidth="1"/>
    <col min="21" max="22" width="16.42578125" style="1" customWidth="1"/>
    <col min="23" max="23" width="19.5703125" style="1" customWidth="1"/>
    <col min="24" max="24" width="18.42578125" style="1" customWidth="1"/>
    <col min="25" max="25" width="16.140625" style="1" customWidth="1"/>
    <col min="26" max="26" width="16.85546875" style="1" customWidth="1"/>
    <col min="27" max="27" width="16.5703125" style="1" customWidth="1"/>
    <col min="28" max="16384" width="8.7109375" style="1"/>
  </cols>
  <sheetData>
    <row r="1" spans="1:27" ht="15.75" x14ac:dyDescent="0.25">
      <c r="A1" s="2" t="s">
        <v>31</v>
      </c>
    </row>
    <row r="2" spans="1:27" x14ac:dyDescent="0.25">
      <c r="A2" s="3" t="s">
        <v>0</v>
      </c>
    </row>
    <row r="4" spans="1:27" x14ac:dyDescent="0.25">
      <c r="A4" s="65" t="s">
        <v>1</v>
      </c>
      <c r="B4" s="65" t="s">
        <v>32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x14ac:dyDescent="0.25">
      <c r="A5" s="66"/>
      <c r="B5" s="65" t="s">
        <v>2</v>
      </c>
      <c r="C5" s="65" t="s">
        <v>3</v>
      </c>
      <c r="D5" s="4" t="s">
        <v>4</v>
      </c>
      <c r="E5" s="65" t="s">
        <v>5</v>
      </c>
      <c r="F5" s="65" t="s">
        <v>4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5" t="s">
        <v>6</v>
      </c>
      <c r="R5" s="63" t="s">
        <v>7</v>
      </c>
      <c r="S5" s="4" t="s">
        <v>4</v>
      </c>
      <c r="T5" s="65" t="s">
        <v>8</v>
      </c>
      <c r="U5" s="4" t="s">
        <v>4</v>
      </c>
      <c r="V5" s="65" t="s">
        <v>9</v>
      </c>
      <c r="W5" s="4" t="s">
        <v>4</v>
      </c>
      <c r="X5" s="65" t="s">
        <v>10</v>
      </c>
      <c r="Y5" s="65" t="s">
        <v>11</v>
      </c>
      <c r="Z5" s="65" t="s">
        <v>12</v>
      </c>
      <c r="AA5" s="65" t="s">
        <v>13</v>
      </c>
    </row>
    <row r="6" spans="1:27" x14ac:dyDescent="0.25">
      <c r="A6" s="66"/>
      <c r="B6" s="66"/>
      <c r="C6" s="66"/>
      <c r="D6" s="65" t="s">
        <v>14</v>
      </c>
      <c r="E6" s="66"/>
      <c r="F6" s="65" t="s">
        <v>15</v>
      </c>
      <c r="G6" s="63" t="s">
        <v>16</v>
      </c>
      <c r="H6" s="63" t="s">
        <v>17</v>
      </c>
      <c r="I6" s="65" t="s">
        <v>18</v>
      </c>
      <c r="J6" s="65" t="s">
        <v>19</v>
      </c>
      <c r="K6" s="65" t="s">
        <v>20</v>
      </c>
      <c r="L6" s="65" t="s">
        <v>21</v>
      </c>
      <c r="M6" s="65" t="s">
        <v>22</v>
      </c>
      <c r="N6" s="4" t="s">
        <v>4</v>
      </c>
      <c r="O6" s="65" t="s">
        <v>23</v>
      </c>
      <c r="P6" s="4" t="s">
        <v>4</v>
      </c>
      <c r="Q6" s="66"/>
      <c r="R6" s="64"/>
      <c r="S6" s="65" t="s">
        <v>24</v>
      </c>
      <c r="T6" s="66"/>
      <c r="U6" s="65" t="s">
        <v>25</v>
      </c>
      <c r="V6" s="66"/>
      <c r="W6" s="65" t="s">
        <v>26</v>
      </c>
      <c r="X6" s="66"/>
      <c r="Y6" s="66"/>
      <c r="Z6" s="66"/>
      <c r="AA6" s="66"/>
    </row>
    <row r="7" spans="1:27" ht="105" x14ac:dyDescent="0.25">
      <c r="A7" s="66"/>
      <c r="B7" s="66"/>
      <c r="C7" s="66"/>
      <c r="D7" s="66"/>
      <c r="E7" s="66"/>
      <c r="F7" s="66"/>
      <c r="G7" s="64"/>
      <c r="H7" s="64"/>
      <c r="I7" s="66"/>
      <c r="J7" s="66"/>
      <c r="K7" s="66"/>
      <c r="L7" s="66"/>
      <c r="M7" s="66"/>
      <c r="N7" s="54" t="s">
        <v>27</v>
      </c>
      <c r="O7" s="66"/>
      <c r="P7" s="4" t="s">
        <v>28</v>
      </c>
      <c r="Q7" s="66"/>
      <c r="R7" s="64"/>
      <c r="S7" s="66"/>
      <c r="T7" s="66"/>
      <c r="U7" s="66"/>
      <c r="V7" s="66"/>
      <c r="W7" s="66"/>
      <c r="X7" s="66"/>
      <c r="Y7" s="66"/>
      <c r="Z7" s="66"/>
      <c r="AA7" s="66"/>
    </row>
    <row r="8" spans="1:27" x14ac:dyDescent="0.25">
      <c r="A8" s="5">
        <v>39904</v>
      </c>
      <c r="B8" s="6">
        <v>9174235</v>
      </c>
      <c r="C8" s="7">
        <v>320171</v>
      </c>
      <c r="D8" s="7">
        <v>187222</v>
      </c>
      <c r="E8" s="7">
        <v>1733933</v>
      </c>
      <c r="F8" s="7">
        <v>368981</v>
      </c>
      <c r="G8" s="7">
        <v>42652</v>
      </c>
      <c r="H8" s="7">
        <v>43351</v>
      </c>
      <c r="I8" s="7">
        <v>39265</v>
      </c>
      <c r="J8" s="7">
        <v>98250</v>
      </c>
      <c r="K8" s="7">
        <v>125014</v>
      </c>
      <c r="L8" s="7">
        <v>324766</v>
      </c>
      <c r="M8" s="7">
        <v>163275</v>
      </c>
      <c r="N8" s="7">
        <v>7736</v>
      </c>
      <c r="O8" s="7">
        <v>222459</v>
      </c>
      <c r="P8" s="7">
        <v>88279</v>
      </c>
      <c r="Q8" s="7">
        <v>284201</v>
      </c>
      <c r="R8" s="7">
        <v>638945</v>
      </c>
      <c r="S8" s="7">
        <v>577601</v>
      </c>
      <c r="T8" s="7">
        <v>874494</v>
      </c>
      <c r="U8" s="7">
        <v>610188</v>
      </c>
      <c r="V8" s="7">
        <v>503467</v>
      </c>
      <c r="W8" s="7">
        <v>37657</v>
      </c>
      <c r="X8" s="7">
        <v>2310931</v>
      </c>
      <c r="Y8" s="7">
        <v>863857</v>
      </c>
      <c r="Z8" s="7">
        <v>1525409</v>
      </c>
      <c r="AA8" s="7">
        <v>118828</v>
      </c>
    </row>
    <row r="9" spans="1:27" x14ac:dyDescent="0.25">
      <c r="A9" s="5">
        <v>39934</v>
      </c>
      <c r="B9" s="7">
        <v>9122247</v>
      </c>
      <c r="C9" s="7">
        <v>287708</v>
      </c>
      <c r="D9" s="7">
        <v>155815</v>
      </c>
      <c r="E9" s="7">
        <v>1731607</v>
      </c>
      <c r="F9" s="7">
        <v>371464</v>
      </c>
      <c r="G9" s="7">
        <v>42804</v>
      </c>
      <c r="H9" s="7">
        <v>44139</v>
      </c>
      <c r="I9" s="7">
        <v>36657</v>
      </c>
      <c r="J9" s="7">
        <v>93092</v>
      </c>
      <c r="K9" s="7">
        <v>126174</v>
      </c>
      <c r="L9" s="7">
        <v>329013</v>
      </c>
      <c r="M9" s="7">
        <v>165461</v>
      </c>
      <c r="N9" s="7">
        <v>8273</v>
      </c>
      <c r="O9" s="7">
        <v>221302</v>
      </c>
      <c r="P9" s="7">
        <v>93582</v>
      </c>
      <c r="Q9" s="7">
        <v>279353</v>
      </c>
      <c r="R9" s="7">
        <v>653357</v>
      </c>
      <c r="S9" s="7">
        <v>599345</v>
      </c>
      <c r="T9" s="7">
        <v>875360</v>
      </c>
      <c r="U9" s="7">
        <v>608251</v>
      </c>
      <c r="V9" s="7">
        <v>514757</v>
      </c>
      <c r="W9" s="7">
        <v>39564</v>
      </c>
      <c r="X9" s="7">
        <v>2282204</v>
      </c>
      <c r="Y9" s="7">
        <v>859101</v>
      </c>
      <c r="Z9" s="7">
        <v>1523302</v>
      </c>
      <c r="AA9" s="7">
        <v>115499</v>
      </c>
    </row>
    <row r="10" spans="1:27" x14ac:dyDescent="0.25">
      <c r="A10" s="5">
        <v>39965</v>
      </c>
      <c r="B10" s="7">
        <v>9140944</v>
      </c>
      <c r="C10" s="7">
        <v>287192</v>
      </c>
      <c r="D10" s="7">
        <v>154657</v>
      </c>
      <c r="E10" s="7">
        <v>1723134</v>
      </c>
      <c r="F10" s="7">
        <v>366692</v>
      </c>
      <c r="G10" s="7">
        <v>42963</v>
      </c>
      <c r="H10" s="7">
        <v>43834</v>
      </c>
      <c r="I10" s="7">
        <v>39665</v>
      </c>
      <c r="J10" s="7">
        <v>91705</v>
      </c>
      <c r="K10" s="7">
        <v>127129</v>
      </c>
      <c r="L10" s="7">
        <v>326387</v>
      </c>
      <c r="M10" s="7">
        <v>169666</v>
      </c>
      <c r="N10" s="7">
        <v>9283</v>
      </c>
      <c r="O10" s="7">
        <v>222388</v>
      </c>
      <c r="P10" s="7">
        <v>95368</v>
      </c>
      <c r="Q10" s="7">
        <v>294985</v>
      </c>
      <c r="R10" s="7">
        <v>665906</v>
      </c>
      <c r="S10" s="7">
        <v>608226</v>
      </c>
      <c r="T10" s="7">
        <v>880671</v>
      </c>
      <c r="U10" s="7">
        <v>618918</v>
      </c>
      <c r="V10" s="7">
        <v>537458</v>
      </c>
      <c r="W10" s="7">
        <v>39376</v>
      </c>
      <c r="X10" s="7">
        <v>2266891</v>
      </c>
      <c r="Y10" s="7">
        <v>875832</v>
      </c>
      <c r="Z10" s="7">
        <v>1501179</v>
      </c>
      <c r="AA10" s="7">
        <v>107697</v>
      </c>
    </row>
    <row r="11" spans="1:27" x14ac:dyDescent="0.25">
      <c r="A11" s="5">
        <v>39995</v>
      </c>
      <c r="B11" s="7">
        <v>9063617</v>
      </c>
      <c r="C11" s="7">
        <v>251739</v>
      </c>
      <c r="D11" s="7">
        <v>118066</v>
      </c>
      <c r="E11" s="7">
        <v>1711269</v>
      </c>
      <c r="F11" s="7">
        <v>369759</v>
      </c>
      <c r="G11" s="7">
        <v>41549</v>
      </c>
      <c r="H11" s="7">
        <v>42983</v>
      </c>
      <c r="I11" s="7">
        <v>42335</v>
      </c>
      <c r="J11" s="7">
        <v>90873</v>
      </c>
      <c r="K11" s="7">
        <v>127288</v>
      </c>
      <c r="L11" s="7">
        <v>316522</v>
      </c>
      <c r="M11" s="7">
        <v>168746</v>
      </c>
      <c r="N11" s="7">
        <v>8845</v>
      </c>
      <c r="O11" s="7">
        <v>218028</v>
      </c>
      <c r="P11" s="7">
        <v>86780</v>
      </c>
      <c r="Q11" s="7">
        <v>298478</v>
      </c>
      <c r="R11" s="7">
        <v>673918</v>
      </c>
      <c r="S11" s="7">
        <v>615667</v>
      </c>
      <c r="T11" s="7">
        <v>865198</v>
      </c>
      <c r="U11" s="7">
        <v>601647</v>
      </c>
      <c r="V11" s="7">
        <v>493562</v>
      </c>
      <c r="W11" s="7">
        <v>37639</v>
      </c>
      <c r="X11" s="7">
        <v>2271800</v>
      </c>
      <c r="Y11" s="7">
        <v>891203</v>
      </c>
      <c r="Z11" s="7">
        <v>1506270</v>
      </c>
      <c r="AA11" s="7">
        <v>100180</v>
      </c>
    </row>
    <row r="12" spans="1:27" x14ac:dyDescent="0.25">
      <c r="A12" s="5">
        <v>40026</v>
      </c>
      <c r="B12" s="7">
        <v>9043354</v>
      </c>
      <c r="C12" s="7">
        <v>251191</v>
      </c>
      <c r="D12" s="7">
        <v>117767</v>
      </c>
      <c r="E12" s="7">
        <v>1734748</v>
      </c>
      <c r="F12" s="7">
        <v>373272</v>
      </c>
      <c r="G12" s="7">
        <v>42024</v>
      </c>
      <c r="H12" s="7">
        <v>44022</v>
      </c>
      <c r="I12" s="7">
        <v>45209</v>
      </c>
      <c r="J12" s="7">
        <v>89968</v>
      </c>
      <c r="K12" s="7">
        <v>128835</v>
      </c>
      <c r="L12" s="7">
        <v>323904</v>
      </c>
      <c r="M12" s="7">
        <v>177019</v>
      </c>
      <c r="N12" s="7">
        <v>9526</v>
      </c>
      <c r="O12" s="7">
        <v>217063</v>
      </c>
      <c r="P12" s="7">
        <v>85970</v>
      </c>
      <c r="Q12" s="7">
        <v>312460</v>
      </c>
      <c r="R12" s="7">
        <v>689072</v>
      </c>
      <c r="S12" s="7">
        <v>629965</v>
      </c>
      <c r="T12" s="7">
        <v>860139</v>
      </c>
      <c r="U12" s="7">
        <v>599553</v>
      </c>
      <c r="V12" s="7">
        <v>423558</v>
      </c>
      <c r="W12" s="7">
        <v>38665</v>
      </c>
      <c r="X12" s="7">
        <v>2284861</v>
      </c>
      <c r="Y12" s="7">
        <v>916023</v>
      </c>
      <c r="Z12" s="7">
        <v>1474502</v>
      </c>
      <c r="AA12" s="7">
        <v>96800</v>
      </c>
    </row>
    <row r="13" spans="1:27" x14ac:dyDescent="0.25">
      <c r="A13" s="5">
        <v>40057</v>
      </c>
      <c r="B13" s="7">
        <v>9105925</v>
      </c>
      <c r="C13" s="7">
        <v>239093</v>
      </c>
      <c r="D13" s="7">
        <v>112253</v>
      </c>
      <c r="E13" s="7">
        <v>1746709</v>
      </c>
      <c r="F13" s="7">
        <v>378728</v>
      </c>
      <c r="G13" s="7">
        <v>42671</v>
      </c>
      <c r="H13" s="7">
        <v>47245</v>
      </c>
      <c r="I13" s="7">
        <v>46048</v>
      </c>
      <c r="J13" s="7">
        <v>90905</v>
      </c>
      <c r="K13" s="7">
        <v>131836</v>
      </c>
      <c r="L13" s="7">
        <v>317385</v>
      </c>
      <c r="M13" s="7">
        <v>180968</v>
      </c>
      <c r="N13" s="7">
        <v>9444</v>
      </c>
      <c r="O13" s="7">
        <v>218513</v>
      </c>
      <c r="P13" s="7">
        <v>87565</v>
      </c>
      <c r="Q13" s="7">
        <v>329366</v>
      </c>
      <c r="R13" s="7">
        <v>703607</v>
      </c>
      <c r="S13" s="7">
        <v>642244</v>
      </c>
      <c r="T13" s="7">
        <v>869285</v>
      </c>
      <c r="U13" s="7">
        <v>610322</v>
      </c>
      <c r="V13" s="7">
        <v>392728</v>
      </c>
      <c r="W13" s="7">
        <v>39037</v>
      </c>
      <c r="X13" s="7">
        <v>2303762</v>
      </c>
      <c r="Y13" s="7">
        <v>936634</v>
      </c>
      <c r="Z13" s="7">
        <v>1487114</v>
      </c>
      <c r="AA13" s="7">
        <v>97628</v>
      </c>
    </row>
    <row r="14" spans="1:27" x14ac:dyDescent="0.25">
      <c r="A14" s="5">
        <v>40087</v>
      </c>
      <c r="B14" s="7">
        <v>9225599</v>
      </c>
      <c r="C14" s="7">
        <v>230715</v>
      </c>
      <c r="D14" s="7">
        <v>110902</v>
      </c>
      <c r="E14" s="7">
        <v>1766979</v>
      </c>
      <c r="F14" s="7">
        <v>383933</v>
      </c>
      <c r="G14" s="7">
        <v>42868</v>
      </c>
      <c r="H14" s="7">
        <v>40919</v>
      </c>
      <c r="I14" s="7">
        <v>49972</v>
      </c>
      <c r="J14" s="7">
        <v>92554</v>
      </c>
      <c r="K14" s="7">
        <v>133796</v>
      </c>
      <c r="L14" s="7">
        <v>317660</v>
      </c>
      <c r="M14" s="7">
        <v>182278</v>
      </c>
      <c r="N14" s="7">
        <v>9077</v>
      </c>
      <c r="O14" s="7">
        <v>223333</v>
      </c>
      <c r="P14" s="7">
        <v>88276</v>
      </c>
      <c r="Q14" s="7">
        <v>334731</v>
      </c>
      <c r="R14" s="7">
        <v>721646</v>
      </c>
      <c r="S14" s="7">
        <v>653423</v>
      </c>
      <c r="T14" s="7">
        <v>900119</v>
      </c>
      <c r="U14" s="7">
        <v>635416</v>
      </c>
      <c r="V14" s="7">
        <v>423321</v>
      </c>
      <c r="W14" s="7">
        <v>38393</v>
      </c>
      <c r="X14" s="7">
        <v>2319128</v>
      </c>
      <c r="Y14" s="7">
        <v>921867</v>
      </c>
      <c r="Z14" s="7">
        <v>1509002</v>
      </c>
      <c r="AA14" s="7">
        <v>98091</v>
      </c>
    </row>
    <row r="15" spans="1:27" x14ac:dyDescent="0.25">
      <c r="A15" s="5">
        <v>40118</v>
      </c>
      <c r="B15" s="7">
        <v>9184017</v>
      </c>
      <c r="C15" s="7">
        <v>221693</v>
      </c>
      <c r="D15" s="7">
        <v>107099</v>
      </c>
      <c r="E15" s="7">
        <v>1795728</v>
      </c>
      <c r="F15" s="7">
        <v>395452</v>
      </c>
      <c r="G15" s="7">
        <v>42349</v>
      </c>
      <c r="H15" s="7">
        <v>41049</v>
      </c>
      <c r="I15" s="7">
        <v>55051</v>
      </c>
      <c r="J15" s="7">
        <v>95799</v>
      </c>
      <c r="K15" s="7">
        <v>134053</v>
      </c>
      <c r="L15" s="7">
        <v>321413</v>
      </c>
      <c r="M15" s="7">
        <v>179486</v>
      </c>
      <c r="N15" s="7">
        <v>9154</v>
      </c>
      <c r="O15" s="7">
        <v>226146</v>
      </c>
      <c r="P15" s="7">
        <v>89290</v>
      </c>
      <c r="Q15" s="7">
        <v>342336</v>
      </c>
      <c r="R15" s="7">
        <v>724996</v>
      </c>
      <c r="S15" s="7">
        <v>657616</v>
      </c>
      <c r="T15" s="7">
        <v>898972</v>
      </c>
      <c r="U15" s="7">
        <v>636770</v>
      </c>
      <c r="V15" s="7">
        <v>401775</v>
      </c>
      <c r="W15" s="7">
        <v>39343</v>
      </c>
      <c r="X15" s="7">
        <v>2314061</v>
      </c>
      <c r="Y15" s="7">
        <v>920839</v>
      </c>
      <c r="Z15" s="7">
        <v>1461376</v>
      </c>
      <c r="AA15" s="7">
        <v>102240</v>
      </c>
    </row>
    <row r="16" spans="1:27" x14ac:dyDescent="0.25">
      <c r="A16" s="5">
        <v>40148</v>
      </c>
      <c r="B16" s="7">
        <v>9124732</v>
      </c>
      <c r="C16" s="7">
        <v>211451</v>
      </c>
      <c r="D16" s="7">
        <v>105363</v>
      </c>
      <c r="E16" s="7">
        <v>1762943</v>
      </c>
      <c r="F16" s="7">
        <v>397973</v>
      </c>
      <c r="G16" s="7">
        <v>41354</v>
      </c>
      <c r="H16" s="7">
        <v>40326</v>
      </c>
      <c r="I16" s="7">
        <v>46495</v>
      </c>
      <c r="J16" s="7">
        <v>96770</v>
      </c>
      <c r="K16" s="7">
        <v>132496</v>
      </c>
      <c r="L16" s="7">
        <v>294510</v>
      </c>
      <c r="M16" s="7">
        <v>183063</v>
      </c>
      <c r="N16" s="7">
        <v>9986</v>
      </c>
      <c r="O16" s="7">
        <v>228196</v>
      </c>
      <c r="P16" s="7">
        <v>89131</v>
      </c>
      <c r="Q16" s="7">
        <v>351970</v>
      </c>
      <c r="R16" s="7">
        <v>729819</v>
      </c>
      <c r="S16" s="7">
        <v>661576</v>
      </c>
      <c r="T16" s="7">
        <v>901361</v>
      </c>
      <c r="U16" s="7">
        <v>642140</v>
      </c>
      <c r="V16" s="7">
        <v>412685</v>
      </c>
      <c r="W16" s="7">
        <v>39677</v>
      </c>
      <c r="X16" s="7">
        <v>2309790</v>
      </c>
      <c r="Y16" s="7">
        <v>912603</v>
      </c>
      <c r="Z16" s="7">
        <v>1428003</v>
      </c>
      <c r="AA16" s="7">
        <v>104107</v>
      </c>
    </row>
    <row r="17" spans="1:27" x14ac:dyDescent="0.25">
      <c r="A17" s="5">
        <v>40179</v>
      </c>
      <c r="B17" s="7">
        <v>9109136</v>
      </c>
      <c r="C17" s="7">
        <v>206559</v>
      </c>
      <c r="D17" s="7">
        <v>100901</v>
      </c>
      <c r="E17" s="7">
        <v>1753930</v>
      </c>
      <c r="F17" s="7">
        <v>406192</v>
      </c>
      <c r="G17" s="7">
        <v>42062</v>
      </c>
      <c r="H17" s="7">
        <v>39473</v>
      </c>
      <c r="I17" s="7">
        <v>48718</v>
      </c>
      <c r="J17" s="7">
        <v>99208</v>
      </c>
      <c r="K17" s="7">
        <v>135264</v>
      </c>
      <c r="L17" s="7">
        <v>281620</v>
      </c>
      <c r="M17" s="7">
        <v>184587</v>
      </c>
      <c r="N17" s="7">
        <v>9607</v>
      </c>
      <c r="O17" s="7">
        <v>216260</v>
      </c>
      <c r="P17" s="7">
        <v>91504</v>
      </c>
      <c r="Q17" s="7">
        <v>361907</v>
      </c>
      <c r="R17" s="7">
        <v>739885</v>
      </c>
      <c r="S17" s="7">
        <v>675850</v>
      </c>
      <c r="T17" s="7">
        <v>868071</v>
      </c>
      <c r="U17" s="7">
        <v>625285</v>
      </c>
      <c r="V17" s="7">
        <v>420986</v>
      </c>
      <c r="W17" s="7">
        <v>43141</v>
      </c>
      <c r="X17" s="7">
        <v>2272813</v>
      </c>
      <c r="Y17" s="7">
        <v>918279</v>
      </c>
      <c r="Z17" s="7">
        <v>1484781</v>
      </c>
      <c r="AA17" s="7">
        <v>81925</v>
      </c>
    </row>
    <row r="18" spans="1:27" x14ac:dyDescent="0.25">
      <c r="A18" s="5">
        <v>40210</v>
      </c>
      <c r="B18" s="7">
        <v>9064932</v>
      </c>
      <c r="C18" s="7">
        <v>192262</v>
      </c>
      <c r="D18" s="7">
        <v>97244</v>
      </c>
      <c r="E18" s="7">
        <v>1778103</v>
      </c>
      <c r="F18" s="7">
        <v>412624</v>
      </c>
      <c r="G18" s="7">
        <v>43139</v>
      </c>
      <c r="H18" s="7">
        <v>39668</v>
      </c>
      <c r="I18" s="7">
        <v>47477</v>
      </c>
      <c r="J18" s="7">
        <v>108753</v>
      </c>
      <c r="K18" s="7">
        <v>131024</v>
      </c>
      <c r="L18" s="7">
        <v>292339</v>
      </c>
      <c r="M18" s="7">
        <v>178320</v>
      </c>
      <c r="N18" s="7">
        <v>9284</v>
      </c>
      <c r="O18" s="7">
        <v>246460</v>
      </c>
      <c r="P18" s="7">
        <v>90788</v>
      </c>
      <c r="Q18" s="7">
        <v>369335</v>
      </c>
      <c r="R18" s="7">
        <v>737334</v>
      </c>
      <c r="S18" s="7">
        <v>678866</v>
      </c>
      <c r="T18" s="7">
        <v>869497</v>
      </c>
      <c r="U18" s="7">
        <v>630623</v>
      </c>
      <c r="V18" s="7">
        <v>430309</v>
      </c>
      <c r="W18" s="7">
        <v>48034</v>
      </c>
      <c r="X18" s="7">
        <v>2167405</v>
      </c>
      <c r="Y18" s="7">
        <v>918553</v>
      </c>
      <c r="Z18" s="7">
        <v>1494424</v>
      </c>
      <c r="AA18" s="7">
        <v>107710</v>
      </c>
    </row>
    <row r="19" spans="1:27" x14ac:dyDescent="0.25">
      <c r="A19" s="5">
        <v>40238</v>
      </c>
      <c r="B19" s="7">
        <v>9080461</v>
      </c>
      <c r="C19" s="7">
        <v>164492</v>
      </c>
      <c r="D19" s="7">
        <v>96381</v>
      </c>
      <c r="E19" s="7">
        <v>1804206</v>
      </c>
      <c r="F19" s="7">
        <v>414697</v>
      </c>
      <c r="G19" s="7">
        <v>44916</v>
      </c>
      <c r="H19" s="7">
        <v>40002</v>
      </c>
      <c r="I19" s="7">
        <v>44383</v>
      </c>
      <c r="J19" s="7">
        <v>116955</v>
      </c>
      <c r="K19" s="7">
        <v>129925</v>
      </c>
      <c r="L19" s="7">
        <v>299008</v>
      </c>
      <c r="M19" s="7">
        <v>185264</v>
      </c>
      <c r="N19" s="7">
        <v>9420</v>
      </c>
      <c r="O19" s="7">
        <v>247002</v>
      </c>
      <c r="P19" s="7">
        <v>89756</v>
      </c>
      <c r="Q19" s="7">
        <v>369611</v>
      </c>
      <c r="R19" s="7">
        <v>742030</v>
      </c>
      <c r="S19" s="7">
        <v>684333</v>
      </c>
      <c r="T19" s="7">
        <v>878137</v>
      </c>
      <c r="U19" s="7">
        <v>627501</v>
      </c>
      <c r="V19" s="7">
        <v>423356</v>
      </c>
      <c r="W19" s="7">
        <v>59104</v>
      </c>
      <c r="X19" s="7">
        <v>2183928</v>
      </c>
      <c r="Y19" s="7">
        <v>923200</v>
      </c>
      <c r="Z19" s="7">
        <v>1483247</v>
      </c>
      <c r="AA19" s="7">
        <v>108254</v>
      </c>
    </row>
    <row r="20" spans="1:27" x14ac:dyDescent="0.25">
      <c r="A20" s="5">
        <v>40269</v>
      </c>
      <c r="B20" s="7">
        <v>9151647</v>
      </c>
      <c r="C20" s="7">
        <v>166248</v>
      </c>
      <c r="D20" s="7">
        <v>95573</v>
      </c>
      <c r="E20" s="7">
        <v>1838051</v>
      </c>
      <c r="F20" s="7">
        <v>428892</v>
      </c>
      <c r="G20" s="7">
        <v>46036</v>
      </c>
      <c r="H20" s="7">
        <v>40448</v>
      </c>
      <c r="I20" s="7">
        <v>41798</v>
      </c>
      <c r="J20" s="7">
        <v>120399</v>
      </c>
      <c r="K20" s="7">
        <v>135201</v>
      </c>
      <c r="L20" s="7">
        <v>296311</v>
      </c>
      <c r="M20" s="7">
        <v>189578</v>
      </c>
      <c r="N20" s="7">
        <v>9813</v>
      </c>
      <c r="O20" s="7">
        <v>259528</v>
      </c>
      <c r="P20" s="7">
        <v>105732</v>
      </c>
      <c r="Q20" s="7">
        <v>365400</v>
      </c>
      <c r="R20" s="7">
        <v>757837</v>
      </c>
      <c r="S20" s="7">
        <v>699767</v>
      </c>
      <c r="T20" s="7">
        <v>909341</v>
      </c>
      <c r="U20" s="7">
        <v>646672</v>
      </c>
      <c r="V20" s="7">
        <v>423427</v>
      </c>
      <c r="W20" s="7">
        <v>59843</v>
      </c>
      <c r="X20" s="7">
        <v>2219532</v>
      </c>
      <c r="Y20" s="7">
        <v>936639</v>
      </c>
      <c r="Z20" s="7">
        <v>1420554</v>
      </c>
      <c r="AA20" s="7">
        <v>114618</v>
      </c>
    </row>
    <row r="21" spans="1:27" x14ac:dyDescent="0.25">
      <c r="A21" s="5">
        <v>40299</v>
      </c>
      <c r="B21" s="7">
        <v>9235592</v>
      </c>
      <c r="C21" s="7">
        <v>169072</v>
      </c>
      <c r="D21" s="7">
        <v>99849</v>
      </c>
      <c r="E21" s="7">
        <v>1826144</v>
      </c>
      <c r="F21" s="7">
        <v>432016</v>
      </c>
      <c r="G21" s="7">
        <v>46102</v>
      </c>
      <c r="H21" s="7">
        <v>41785</v>
      </c>
      <c r="I21" s="7">
        <v>37408</v>
      </c>
      <c r="J21" s="7">
        <v>119459</v>
      </c>
      <c r="K21" s="7">
        <v>142658</v>
      </c>
      <c r="L21" s="7">
        <v>297233</v>
      </c>
      <c r="M21" s="7">
        <v>191258</v>
      </c>
      <c r="N21" s="7">
        <v>9983</v>
      </c>
      <c r="O21" s="7">
        <v>244647</v>
      </c>
      <c r="P21" s="7">
        <v>91490</v>
      </c>
      <c r="Q21" s="7">
        <v>366642</v>
      </c>
      <c r="R21" s="7">
        <v>778751</v>
      </c>
      <c r="S21" s="7">
        <v>719218</v>
      </c>
      <c r="T21" s="7">
        <v>929166</v>
      </c>
      <c r="U21" s="7">
        <v>657494</v>
      </c>
      <c r="V21" s="7">
        <v>400394</v>
      </c>
      <c r="W21" s="7">
        <v>47646</v>
      </c>
      <c r="X21" s="7">
        <v>2239479</v>
      </c>
      <c r="Y21" s="7">
        <v>957281</v>
      </c>
      <c r="Z21" s="7">
        <v>1458325</v>
      </c>
      <c r="AA21" s="7">
        <v>110338</v>
      </c>
    </row>
    <row r="22" spans="1:27" x14ac:dyDescent="0.25">
      <c r="A22" s="5">
        <v>40330</v>
      </c>
      <c r="B22" s="7">
        <v>9332217</v>
      </c>
      <c r="C22" s="7">
        <v>168727</v>
      </c>
      <c r="D22" s="7">
        <v>100709</v>
      </c>
      <c r="E22" s="7">
        <v>1842641</v>
      </c>
      <c r="F22" s="7">
        <v>437278</v>
      </c>
      <c r="G22" s="7">
        <v>47730</v>
      </c>
      <c r="H22" s="7">
        <v>42642</v>
      </c>
      <c r="I22" s="7">
        <v>39591</v>
      </c>
      <c r="J22" s="7">
        <v>116365</v>
      </c>
      <c r="K22" s="7">
        <v>142337</v>
      </c>
      <c r="L22" s="7">
        <v>307120</v>
      </c>
      <c r="M22" s="7">
        <v>191825</v>
      </c>
      <c r="N22" s="7">
        <v>10062</v>
      </c>
      <c r="O22" s="7">
        <v>242494</v>
      </c>
      <c r="P22" s="7">
        <v>85898</v>
      </c>
      <c r="Q22" s="7">
        <v>377784</v>
      </c>
      <c r="R22" s="7">
        <v>794673</v>
      </c>
      <c r="S22" s="7">
        <v>734711</v>
      </c>
      <c r="T22" s="7">
        <v>925509</v>
      </c>
      <c r="U22" s="7">
        <v>653399</v>
      </c>
      <c r="V22" s="7">
        <v>425630</v>
      </c>
      <c r="W22" s="7">
        <v>49718</v>
      </c>
      <c r="X22" s="7">
        <v>2262676</v>
      </c>
      <c r="Y22" s="7">
        <v>988514</v>
      </c>
      <c r="Z22" s="7">
        <v>1434164</v>
      </c>
      <c r="AA22" s="7">
        <v>111899</v>
      </c>
    </row>
    <row r="23" spans="1:27" x14ac:dyDescent="0.25">
      <c r="A23" s="5">
        <v>40360</v>
      </c>
      <c r="B23" s="7">
        <v>9516959</v>
      </c>
      <c r="C23" s="7">
        <v>188599</v>
      </c>
      <c r="D23" s="7">
        <v>123063</v>
      </c>
      <c r="E23" s="7">
        <v>1899200</v>
      </c>
      <c r="F23" s="7">
        <v>439066</v>
      </c>
      <c r="G23" s="7">
        <v>49197</v>
      </c>
      <c r="H23" s="7">
        <v>43179</v>
      </c>
      <c r="I23" s="7">
        <v>42725</v>
      </c>
      <c r="J23" s="7">
        <v>130183</v>
      </c>
      <c r="K23" s="7">
        <v>141498</v>
      </c>
      <c r="L23" s="7">
        <v>316324</v>
      </c>
      <c r="M23" s="7">
        <v>210805</v>
      </c>
      <c r="N23" s="7">
        <v>11138</v>
      </c>
      <c r="O23" s="7">
        <v>244016</v>
      </c>
      <c r="P23" s="7">
        <v>88977</v>
      </c>
      <c r="Q23" s="7">
        <v>391739</v>
      </c>
      <c r="R23" s="7">
        <v>812231</v>
      </c>
      <c r="S23" s="7">
        <v>752704</v>
      </c>
      <c r="T23" s="7">
        <v>951149</v>
      </c>
      <c r="U23" s="7">
        <v>674227</v>
      </c>
      <c r="V23" s="7">
        <v>428512</v>
      </c>
      <c r="W23" s="7">
        <v>48866</v>
      </c>
      <c r="X23" s="7">
        <v>2275714</v>
      </c>
      <c r="Y23" s="7">
        <v>1006518</v>
      </c>
      <c r="Z23" s="7">
        <v>1446445</v>
      </c>
      <c r="AA23" s="7">
        <v>116852</v>
      </c>
    </row>
    <row r="24" spans="1:27" x14ac:dyDescent="0.25">
      <c r="A24" s="5">
        <v>40391</v>
      </c>
      <c r="B24" s="7">
        <v>9630514</v>
      </c>
      <c r="C24" s="7">
        <v>181551</v>
      </c>
      <c r="D24" s="7">
        <v>116687</v>
      </c>
      <c r="E24" s="7">
        <v>1917808</v>
      </c>
      <c r="F24" s="7">
        <v>444192</v>
      </c>
      <c r="G24" s="7">
        <v>50843</v>
      </c>
      <c r="H24" s="7">
        <v>44783</v>
      </c>
      <c r="I24" s="7">
        <v>43194</v>
      </c>
      <c r="J24" s="7">
        <v>138069</v>
      </c>
      <c r="K24" s="7">
        <v>137253</v>
      </c>
      <c r="L24" s="7">
        <v>316077</v>
      </c>
      <c r="M24" s="7">
        <v>214204</v>
      </c>
      <c r="N24" s="7">
        <v>11535</v>
      </c>
      <c r="O24" s="7">
        <v>245267</v>
      </c>
      <c r="P24" s="7">
        <v>89732</v>
      </c>
      <c r="Q24" s="7">
        <v>402352</v>
      </c>
      <c r="R24" s="7">
        <v>825412</v>
      </c>
      <c r="S24" s="7">
        <v>768893</v>
      </c>
      <c r="T24" s="7">
        <v>964240</v>
      </c>
      <c r="U24" s="7">
        <v>674811</v>
      </c>
      <c r="V24" s="7">
        <v>440861</v>
      </c>
      <c r="W24" s="7">
        <v>46681</v>
      </c>
      <c r="X24" s="7">
        <v>2294996</v>
      </c>
      <c r="Y24" s="7">
        <v>1006016</v>
      </c>
      <c r="Z24" s="7">
        <v>1481448</v>
      </c>
      <c r="AA24" s="7">
        <v>115830</v>
      </c>
    </row>
    <row r="25" spans="1:27" x14ac:dyDescent="0.25">
      <c r="A25" s="5">
        <v>40422</v>
      </c>
      <c r="B25" s="7">
        <v>9766473</v>
      </c>
      <c r="C25" s="7">
        <v>180678</v>
      </c>
      <c r="D25" s="7">
        <v>119913</v>
      </c>
      <c r="E25" s="7">
        <v>1944803</v>
      </c>
      <c r="F25" s="7">
        <v>453996</v>
      </c>
      <c r="G25" s="7">
        <v>53075</v>
      </c>
      <c r="H25" s="7">
        <v>45119</v>
      </c>
      <c r="I25" s="7">
        <v>44311</v>
      </c>
      <c r="J25" s="7">
        <v>140396</v>
      </c>
      <c r="K25" s="7">
        <v>138171</v>
      </c>
      <c r="L25" s="7">
        <v>321213</v>
      </c>
      <c r="M25" s="7">
        <v>215802</v>
      </c>
      <c r="N25" s="7">
        <v>10636</v>
      </c>
      <c r="O25" s="7">
        <v>245843</v>
      </c>
      <c r="P25" s="7">
        <v>89525</v>
      </c>
      <c r="Q25" s="7">
        <v>407755</v>
      </c>
      <c r="R25" s="7">
        <v>838076</v>
      </c>
      <c r="S25" s="7">
        <v>781087</v>
      </c>
      <c r="T25" s="7">
        <v>970671</v>
      </c>
      <c r="U25" s="7">
        <v>678835</v>
      </c>
      <c r="V25" s="7">
        <v>436352</v>
      </c>
      <c r="W25" s="7">
        <v>46352</v>
      </c>
      <c r="X25" s="7">
        <v>2332874</v>
      </c>
      <c r="Y25" s="7">
        <v>1017705</v>
      </c>
      <c r="Z25" s="7">
        <v>1519834</v>
      </c>
      <c r="AA25" s="7">
        <v>117725</v>
      </c>
    </row>
    <row r="26" spans="1:27" x14ac:dyDescent="0.25">
      <c r="A26" s="5">
        <v>40452</v>
      </c>
      <c r="B26" s="7">
        <v>10008508</v>
      </c>
      <c r="C26" s="7">
        <v>181684</v>
      </c>
      <c r="D26" s="7">
        <v>116259</v>
      </c>
      <c r="E26" s="7">
        <v>1978892</v>
      </c>
      <c r="F26" s="7">
        <v>469338</v>
      </c>
      <c r="G26" s="7">
        <v>53251</v>
      </c>
      <c r="H26" s="7">
        <v>45413</v>
      </c>
      <c r="I26" s="7">
        <v>46627</v>
      </c>
      <c r="J26" s="7">
        <v>144301</v>
      </c>
      <c r="K26" s="7">
        <v>141033</v>
      </c>
      <c r="L26" s="7">
        <v>314278</v>
      </c>
      <c r="M26" s="7">
        <v>220609</v>
      </c>
      <c r="N26" s="7">
        <v>11277</v>
      </c>
      <c r="O26" s="7">
        <v>251101</v>
      </c>
      <c r="P26" s="7">
        <v>88234</v>
      </c>
      <c r="Q26" s="7">
        <v>422718</v>
      </c>
      <c r="R26" s="7">
        <v>845261</v>
      </c>
      <c r="S26" s="7">
        <v>783148</v>
      </c>
      <c r="T26" s="7">
        <v>989746</v>
      </c>
      <c r="U26" s="7">
        <v>687446</v>
      </c>
      <c r="V26" s="7">
        <v>457356</v>
      </c>
      <c r="W26" s="7">
        <v>48256</v>
      </c>
      <c r="X26" s="7">
        <v>2388374</v>
      </c>
      <c r="Y26" s="7">
        <v>1019055</v>
      </c>
      <c r="Z26" s="7">
        <v>1590089</v>
      </c>
      <c r="AA26" s="7">
        <v>135333</v>
      </c>
    </row>
    <row r="27" spans="1:27" x14ac:dyDescent="0.25">
      <c r="A27" s="5">
        <v>40483</v>
      </c>
      <c r="B27" s="7">
        <v>10056657</v>
      </c>
      <c r="C27" s="7">
        <v>202796</v>
      </c>
      <c r="D27" s="7">
        <v>135456</v>
      </c>
      <c r="E27" s="7">
        <v>2014908</v>
      </c>
      <c r="F27" s="7">
        <v>488822</v>
      </c>
      <c r="G27" s="7">
        <v>51605</v>
      </c>
      <c r="H27" s="7">
        <v>46361</v>
      </c>
      <c r="I27" s="7">
        <v>54772</v>
      </c>
      <c r="J27" s="7">
        <v>147847</v>
      </c>
      <c r="K27" s="7">
        <v>141067</v>
      </c>
      <c r="L27" s="7">
        <v>319476</v>
      </c>
      <c r="M27" s="7">
        <v>221819</v>
      </c>
      <c r="N27" s="7">
        <v>16316</v>
      </c>
      <c r="O27" s="7">
        <v>246073</v>
      </c>
      <c r="P27" s="7">
        <v>78735</v>
      </c>
      <c r="Q27" s="7">
        <v>426956</v>
      </c>
      <c r="R27" s="7">
        <v>847794</v>
      </c>
      <c r="S27" s="7">
        <v>785371</v>
      </c>
      <c r="T27" s="7">
        <v>997058</v>
      </c>
      <c r="U27" s="7">
        <v>695677</v>
      </c>
      <c r="V27" s="7">
        <v>468604</v>
      </c>
      <c r="W27" s="7">
        <v>50600</v>
      </c>
      <c r="X27" s="7">
        <v>2325262</v>
      </c>
      <c r="Y27" s="7">
        <v>1045772</v>
      </c>
      <c r="Z27" s="7">
        <v>1593047</v>
      </c>
      <c r="AA27" s="7">
        <v>134460</v>
      </c>
    </row>
    <row r="28" spans="1:27" x14ac:dyDescent="0.25">
      <c r="A28" s="5">
        <v>40513</v>
      </c>
      <c r="B28" s="7">
        <v>10294490</v>
      </c>
      <c r="C28" s="7">
        <v>203035</v>
      </c>
      <c r="D28" s="7">
        <v>133409</v>
      </c>
      <c r="E28" s="7">
        <v>2070575</v>
      </c>
      <c r="F28" s="7">
        <v>507675</v>
      </c>
      <c r="G28" s="7">
        <v>52811</v>
      </c>
      <c r="H28" s="7">
        <v>47118</v>
      </c>
      <c r="I28" s="7">
        <v>52882</v>
      </c>
      <c r="J28" s="7">
        <v>149656</v>
      </c>
      <c r="K28" s="7">
        <v>141475</v>
      </c>
      <c r="L28" s="7">
        <v>323062</v>
      </c>
      <c r="M28" s="7">
        <v>227907</v>
      </c>
      <c r="N28" s="7">
        <v>16254</v>
      </c>
      <c r="O28" s="7">
        <v>249019</v>
      </c>
      <c r="P28" s="7">
        <v>79819</v>
      </c>
      <c r="Q28" s="7">
        <v>426110</v>
      </c>
      <c r="R28" s="7">
        <v>849181</v>
      </c>
      <c r="S28" s="7">
        <v>785452</v>
      </c>
      <c r="T28" s="7">
        <v>1002848</v>
      </c>
      <c r="U28" s="7">
        <v>700659</v>
      </c>
      <c r="V28" s="7">
        <v>481218</v>
      </c>
      <c r="W28" s="7">
        <v>52447</v>
      </c>
      <c r="X28" s="7">
        <v>2407844</v>
      </c>
      <c r="Y28" s="7">
        <v>1072808</v>
      </c>
      <c r="Z28" s="7">
        <v>1640222</v>
      </c>
      <c r="AA28" s="7">
        <v>140649</v>
      </c>
    </row>
    <row r="29" spans="1:27" x14ac:dyDescent="0.25">
      <c r="A29" s="5">
        <v>40544</v>
      </c>
      <c r="B29" s="7">
        <v>10495586</v>
      </c>
      <c r="C29" s="7">
        <v>224899</v>
      </c>
      <c r="D29" s="7">
        <v>147956</v>
      </c>
      <c r="E29" s="7">
        <v>2063698</v>
      </c>
      <c r="F29" s="7">
        <v>518532</v>
      </c>
      <c r="G29" s="7">
        <v>54935</v>
      </c>
      <c r="H29" s="7">
        <v>46930</v>
      </c>
      <c r="I29" s="7">
        <v>49140</v>
      </c>
      <c r="J29" s="7">
        <v>152079</v>
      </c>
      <c r="K29" s="7">
        <v>149489</v>
      </c>
      <c r="L29" s="7">
        <v>326563</v>
      </c>
      <c r="M29" s="7">
        <v>217232</v>
      </c>
      <c r="N29" s="7">
        <v>15116</v>
      </c>
      <c r="O29" s="7">
        <v>238089</v>
      </c>
      <c r="P29" s="7">
        <v>78385</v>
      </c>
      <c r="Q29" s="7">
        <v>435880</v>
      </c>
      <c r="R29" s="7">
        <v>866797</v>
      </c>
      <c r="S29" s="7">
        <v>798391</v>
      </c>
      <c r="T29" s="7">
        <v>954445</v>
      </c>
      <c r="U29" s="7">
        <v>674216</v>
      </c>
      <c r="V29" s="7">
        <v>533313</v>
      </c>
      <c r="W29" s="7">
        <v>52045</v>
      </c>
      <c r="X29" s="7">
        <v>2468640</v>
      </c>
      <c r="Y29" s="7">
        <v>1098588</v>
      </c>
      <c r="Z29" s="7">
        <v>1727809</v>
      </c>
      <c r="AA29" s="7">
        <v>121517</v>
      </c>
    </row>
    <row r="30" spans="1:27" x14ac:dyDescent="0.25">
      <c r="A30" s="5">
        <v>40575</v>
      </c>
      <c r="B30" s="7">
        <v>10580230</v>
      </c>
      <c r="C30" s="7">
        <v>243525</v>
      </c>
      <c r="D30" s="7">
        <v>160089</v>
      </c>
      <c r="E30" s="7">
        <v>2115214</v>
      </c>
      <c r="F30" s="7">
        <v>540885</v>
      </c>
      <c r="G30" s="7">
        <v>55476</v>
      </c>
      <c r="H30" s="7">
        <v>49764</v>
      </c>
      <c r="I30" s="7">
        <v>49703</v>
      </c>
      <c r="J30" s="7">
        <v>151963</v>
      </c>
      <c r="K30" s="7">
        <v>154213</v>
      </c>
      <c r="L30" s="7">
        <v>330152</v>
      </c>
      <c r="M30" s="7">
        <v>217893</v>
      </c>
      <c r="N30" s="7">
        <v>14905</v>
      </c>
      <c r="O30" s="7">
        <v>242432</v>
      </c>
      <c r="P30" s="7">
        <v>82030</v>
      </c>
      <c r="Q30" s="7">
        <v>445863</v>
      </c>
      <c r="R30" s="7">
        <v>859303</v>
      </c>
      <c r="S30" s="7">
        <v>795994</v>
      </c>
      <c r="T30" s="7">
        <v>966388</v>
      </c>
      <c r="U30" s="7">
        <v>705855</v>
      </c>
      <c r="V30" s="7">
        <v>536119</v>
      </c>
      <c r="W30" s="7">
        <v>52132</v>
      </c>
      <c r="X30" s="7">
        <v>2431682</v>
      </c>
      <c r="Y30" s="7">
        <v>1119808</v>
      </c>
      <c r="Z30" s="7">
        <v>1726083</v>
      </c>
      <c r="AA30" s="7">
        <v>136245</v>
      </c>
    </row>
    <row r="31" spans="1:27" x14ac:dyDescent="0.25">
      <c r="A31" s="5">
        <v>40603</v>
      </c>
      <c r="B31" s="7">
        <v>10749630</v>
      </c>
      <c r="C31" s="7">
        <v>243409</v>
      </c>
      <c r="D31" s="7">
        <v>157278</v>
      </c>
      <c r="E31" s="7">
        <v>2138605</v>
      </c>
      <c r="F31" s="7">
        <v>537940</v>
      </c>
      <c r="G31" s="7">
        <v>56739</v>
      </c>
      <c r="H31" s="7">
        <v>50915</v>
      </c>
      <c r="I31" s="7">
        <v>48187</v>
      </c>
      <c r="J31" s="7">
        <v>167987</v>
      </c>
      <c r="K31" s="7">
        <v>156634</v>
      </c>
      <c r="L31" s="7">
        <v>328310</v>
      </c>
      <c r="M31" s="7">
        <v>218357</v>
      </c>
      <c r="N31" s="7">
        <v>13806</v>
      </c>
      <c r="O31" s="7">
        <v>241218</v>
      </c>
      <c r="P31" s="7">
        <v>79578</v>
      </c>
      <c r="Q31" s="7">
        <v>451707</v>
      </c>
      <c r="R31" s="7">
        <v>872924</v>
      </c>
      <c r="S31" s="7">
        <v>807218</v>
      </c>
      <c r="T31" s="7">
        <v>988597</v>
      </c>
      <c r="U31" s="7">
        <v>724505</v>
      </c>
      <c r="V31" s="7">
        <v>556719</v>
      </c>
      <c r="W31" s="7">
        <v>53155</v>
      </c>
      <c r="X31" s="7">
        <v>2462622</v>
      </c>
      <c r="Y31" s="7">
        <v>1124672</v>
      </c>
      <c r="Z31" s="7">
        <v>1758143</v>
      </c>
      <c r="AA31" s="7">
        <v>152232</v>
      </c>
    </row>
    <row r="32" spans="1:27" x14ac:dyDescent="0.25">
      <c r="A32" s="5">
        <v>40634</v>
      </c>
      <c r="B32" s="7">
        <v>10991579</v>
      </c>
      <c r="C32" s="7">
        <v>245568</v>
      </c>
      <c r="D32" s="7">
        <v>157388</v>
      </c>
      <c r="E32" s="7">
        <v>2148027</v>
      </c>
      <c r="F32" s="7">
        <v>547564</v>
      </c>
      <c r="G32" s="7">
        <v>58998</v>
      </c>
      <c r="H32" s="7">
        <v>53094</v>
      </c>
      <c r="I32" s="7">
        <v>47613</v>
      </c>
      <c r="J32" s="7">
        <v>171380</v>
      </c>
      <c r="K32" s="7">
        <v>162643</v>
      </c>
      <c r="L32" s="7">
        <v>328781</v>
      </c>
      <c r="M32" s="7">
        <v>211032</v>
      </c>
      <c r="N32" s="7">
        <v>15285</v>
      </c>
      <c r="O32" s="7">
        <v>239461</v>
      </c>
      <c r="P32" s="7">
        <v>83298</v>
      </c>
      <c r="Q32" s="7">
        <v>434384</v>
      </c>
      <c r="R32" s="7">
        <v>905682</v>
      </c>
      <c r="S32" s="7">
        <v>837434</v>
      </c>
      <c r="T32" s="7">
        <v>1019840</v>
      </c>
      <c r="U32" s="7">
        <v>739735</v>
      </c>
      <c r="V32" s="7">
        <v>587582</v>
      </c>
      <c r="W32" s="7">
        <v>52566</v>
      </c>
      <c r="X32" s="7">
        <v>2529746</v>
      </c>
      <c r="Y32" s="7">
        <v>1160310</v>
      </c>
      <c r="Z32" s="7">
        <v>1806965</v>
      </c>
      <c r="AA32" s="7">
        <v>153475</v>
      </c>
    </row>
    <row r="33" spans="1:27" x14ac:dyDescent="0.25">
      <c r="A33" s="5">
        <v>40664</v>
      </c>
      <c r="B33" s="7">
        <v>11302382</v>
      </c>
      <c r="C33" s="7">
        <v>268503</v>
      </c>
      <c r="D33" s="7">
        <v>172262</v>
      </c>
      <c r="E33" s="7">
        <v>2189409</v>
      </c>
      <c r="F33" s="7">
        <v>551343</v>
      </c>
      <c r="G33" s="7">
        <v>58525</v>
      </c>
      <c r="H33" s="7">
        <v>55523</v>
      </c>
      <c r="I33" s="7">
        <v>50567</v>
      </c>
      <c r="J33" s="7">
        <v>172055</v>
      </c>
      <c r="K33" s="7">
        <v>166561</v>
      </c>
      <c r="L33" s="7">
        <v>329611</v>
      </c>
      <c r="M33" s="7">
        <v>215186</v>
      </c>
      <c r="N33" s="7">
        <v>14342</v>
      </c>
      <c r="O33" s="7">
        <v>249904</v>
      </c>
      <c r="P33" s="7">
        <v>82529</v>
      </c>
      <c r="Q33" s="7">
        <v>438425</v>
      </c>
      <c r="R33" s="7">
        <v>939893</v>
      </c>
      <c r="S33" s="7">
        <v>869868</v>
      </c>
      <c r="T33" s="7">
        <v>1037230</v>
      </c>
      <c r="U33" s="7">
        <v>743465</v>
      </c>
      <c r="V33" s="7">
        <v>623286</v>
      </c>
      <c r="W33" s="7">
        <v>53749</v>
      </c>
      <c r="X33" s="7">
        <v>2612250</v>
      </c>
      <c r="Y33" s="7">
        <v>1206355</v>
      </c>
      <c r="Z33" s="7">
        <v>1831628</v>
      </c>
      <c r="AA33" s="7">
        <v>155403</v>
      </c>
    </row>
    <row r="34" spans="1:27" x14ac:dyDescent="0.25">
      <c r="A34" s="5">
        <v>40695</v>
      </c>
      <c r="B34" s="7">
        <v>11440228</v>
      </c>
      <c r="C34" s="7">
        <v>265700</v>
      </c>
      <c r="D34" s="7">
        <v>163594</v>
      </c>
      <c r="E34" s="7">
        <v>2212241</v>
      </c>
      <c r="F34" s="7">
        <v>555877</v>
      </c>
      <c r="G34" s="7">
        <v>56171</v>
      </c>
      <c r="H34" s="7">
        <v>56108</v>
      </c>
      <c r="I34" s="7">
        <v>52468</v>
      </c>
      <c r="J34" s="7">
        <v>175978</v>
      </c>
      <c r="K34" s="7">
        <v>168231</v>
      </c>
      <c r="L34" s="7">
        <v>333338</v>
      </c>
      <c r="M34" s="7">
        <v>214357</v>
      </c>
      <c r="N34" s="7">
        <v>14233</v>
      </c>
      <c r="O34" s="7">
        <v>251109</v>
      </c>
      <c r="P34" s="7">
        <v>84259</v>
      </c>
      <c r="Q34" s="7">
        <v>447801</v>
      </c>
      <c r="R34" s="7">
        <v>966768</v>
      </c>
      <c r="S34" s="7">
        <v>892684</v>
      </c>
      <c r="T34" s="7">
        <v>1087133</v>
      </c>
      <c r="U34" s="7">
        <v>785825</v>
      </c>
      <c r="V34" s="7">
        <v>647035</v>
      </c>
      <c r="W34" s="7">
        <v>55078</v>
      </c>
      <c r="X34" s="7">
        <v>2616947</v>
      </c>
      <c r="Y34" s="7">
        <v>1241918</v>
      </c>
      <c r="Z34" s="7">
        <v>1795868</v>
      </c>
      <c r="AA34" s="7">
        <v>158817</v>
      </c>
    </row>
    <row r="35" spans="1:27" x14ac:dyDescent="0.25">
      <c r="A35" s="5">
        <v>40725</v>
      </c>
      <c r="B35" s="7">
        <v>11726018</v>
      </c>
      <c r="C35" s="7">
        <v>255239</v>
      </c>
      <c r="D35" s="7">
        <v>153856</v>
      </c>
      <c r="E35" s="7">
        <v>2213423</v>
      </c>
      <c r="F35" s="7">
        <v>549971</v>
      </c>
      <c r="G35" s="7">
        <v>56117</v>
      </c>
      <c r="H35" s="7">
        <v>57023</v>
      </c>
      <c r="I35" s="7">
        <v>50440</v>
      </c>
      <c r="J35" s="7">
        <v>179615</v>
      </c>
      <c r="K35" s="7">
        <v>167880</v>
      </c>
      <c r="L35" s="7">
        <v>317797</v>
      </c>
      <c r="M35" s="7">
        <v>220466</v>
      </c>
      <c r="N35" s="7">
        <v>14967</v>
      </c>
      <c r="O35" s="7">
        <v>256364</v>
      </c>
      <c r="P35" s="7">
        <v>82122</v>
      </c>
      <c r="Q35" s="7">
        <v>459846</v>
      </c>
      <c r="R35" s="7">
        <v>989846</v>
      </c>
      <c r="S35" s="7">
        <v>915009</v>
      </c>
      <c r="T35" s="7">
        <v>1117198</v>
      </c>
      <c r="U35" s="7">
        <v>802570</v>
      </c>
      <c r="V35" s="7">
        <v>655022</v>
      </c>
      <c r="W35" s="7">
        <v>56573</v>
      </c>
      <c r="X35" s="7">
        <v>2709822</v>
      </c>
      <c r="Y35" s="7">
        <v>1278588</v>
      </c>
      <c r="Z35" s="7">
        <v>1876239</v>
      </c>
      <c r="AA35" s="7">
        <v>170795</v>
      </c>
    </row>
    <row r="36" spans="1:27" x14ac:dyDescent="0.25">
      <c r="A36" s="5">
        <v>40756</v>
      </c>
      <c r="B36" s="7">
        <v>11929104</v>
      </c>
      <c r="C36" s="7">
        <v>243781</v>
      </c>
      <c r="D36" s="7">
        <v>149306</v>
      </c>
      <c r="E36" s="7">
        <v>2248722</v>
      </c>
      <c r="F36" s="7">
        <v>558876</v>
      </c>
      <c r="G36" s="7">
        <v>55118</v>
      </c>
      <c r="H36" s="7">
        <v>59133</v>
      </c>
      <c r="I36" s="7">
        <v>50156</v>
      </c>
      <c r="J36" s="7">
        <v>183180</v>
      </c>
      <c r="K36" s="7">
        <v>168753</v>
      </c>
      <c r="L36" s="7">
        <v>325735</v>
      </c>
      <c r="M36" s="7">
        <v>226588</v>
      </c>
      <c r="N36" s="7">
        <v>16774</v>
      </c>
      <c r="O36" s="7">
        <v>263195</v>
      </c>
      <c r="P36" s="7">
        <v>83852</v>
      </c>
      <c r="Q36" s="7">
        <v>474326</v>
      </c>
      <c r="R36" s="7">
        <v>1014302</v>
      </c>
      <c r="S36" s="7">
        <v>938184</v>
      </c>
      <c r="T36" s="7">
        <v>1138129</v>
      </c>
      <c r="U36" s="7">
        <v>817609</v>
      </c>
      <c r="V36" s="7">
        <v>670260</v>
      </c>
      <c r="W36" s="7">
        <v>56017</v>
      </c>
      <c r="X36" s="7">
        <v>2743388</v>
      </c>
      <c r="Y36" s="7">
        <v>1296986</v>
      </c>
      <c r="Z36" s="7">
        <v>1927457</v>
      </c>
      <c r="AA36" s="7">
        <v>171753</v>
      </c>
    </row>
    <row r="37" spans="1:27" x14ac:dyDescent="0.25">
      <c r="A37" s="5">
        <v>40787</v>
      </c>
      <c r="B37" s="7">
        <v>12198796</v>
      </c>
      <c r="C37" s="7">
        <v>248324</v>
      </c>
      <c r="D37" s="7">
        <v>157827</v>
      </c>
      <c r="E37" s="7">
        <v>2297887</v>
      </c>
      <c r="F37" s="7">
        <v>560117</v>
      </c>
      <c r="G37" s="7">
        <v>56899</v>
      </c>
      <c r="H37" s="7">
        <v>59895</v>
      </c>
      <c r="I37" s="7">
        <v>61919</v>
      </c>
      <c r="J37" s="7">
        <v>190500</v>
      </c>
      <c r="K37" s="7">
        <v>167755</v>
      </c>
      <c r="L37" s="7">
        <v>325451</v>
      </c>
      <c r="M37" s="7">
        <v>231918</v>
      </c>
      <c r="N37" s="7">
        <v>16372</v>
      </c>
      <c r="O37" s="7">
        <v>277596</v>
      </c>
      <c r="P37" s="7">
        <v>83147</v>
      </c>
      <c r="Q37" s="7">
        <v>507454</v>
      </c>
      <c r="R37" s="7">
        <v>1036866</v>
      </c>
      <c r="S37" s="7">
        <v>959940</v>
      </c>
      <c r="T37" s="7">
        <v>1165776</v>
      </c>
      <c r="U37" s="7">
        <v>835662</v>
      </c>
      <c r="V37" s="7">
        <v>671399</v>
      </c>
      <c r="W37" s="7">
        <v>55681</v>
      </c>
      <c r="X37" s="7">
        <v>2793972</v>
      </c>
      <c r="Y37" s="7">
        <v>1321630</v>
      </c>
      <c r="Z37" s="7">
        <v>1979790</v>
      </c>
      <c r="AA37" s="7">
        <v>175698</v>
      </c>
    </row>
    <row r="38" spans="1:27" x14ac:dyDescent="0.25">
      <c r="A38" s="5">
        <v>40817</v>
      </c>
      <c r="B38" s="7">
        <v>12691674</v>
      </c>
      <c r="C38" s="7">
        <v>234617</v>
      </c>
      <c r="D38" s="7">
        <v>144483</v>
      </c>
      <c r="E38" s="7">
        <v>2395248</v>
      </c>
      <c r="F38" s="7">
        <v>570957</v>
      </c>
      <c r="G38" s="7">
        <v>58515</v>
      </c>
      <c r="H38" s="7">
        <v>60211</v>
      </c>
      <c r="I38" s="7">
        <v>79551</v>
      </c>
      <c r="J38" s="7">
        <v>199911</v>
      </c>
      <c r="K38" s="7">
        <v>168593</v>
      </c>
      <c r="L38" s="7">
        <v>355907</v>
      </c>
      <c r="M38" s="7">
        <v>235016</v>
      </c>
      <c r="N38" s="7">
        <v>18581</v>
      </c>
      <c r="O38" s="7">
        <v>291809</v>
      </c>
      <c r="P38" s="7">
        <v>83020</v>
      </c>
      <c r="Q38" s="7">
        <v>534594</v>
      </c>
      <c r="R38" s="7">
        <v>1048539</v>
      </c>
      <c r="S38" s="7">
        <v>971496</v>
      </c>
      <c r="T38" s="7">
        <v>1190159</v>
      </c>
      <c r="U38" s="7">
        <v>857005</v>
      </c>
      <c r="V38" s="7">
        <v>719396</v>
      </c>
      <c r="W38" s="7">
        <v>55293</v>
      </c>
      <c r="X38" s="7">
        <v>2876553</v>
      </c>
      <c r="Y38" s="7">
        <v>1457832</v>
      </c>
      <c r="Z38" s="7">
        <v>2041147</v>
      </c>
      <c r="AA38" s="7">
        <v>193589</v>
      </c>
    </row>
    <row r="39" spans="1:27" x14ac:dyDescent="0.25">
      <c r="A39" s="5">
        <v>40848</v>
      </c>
      <c r="B39" s="7">
        <v>12964306</v>
      </c>
      <c r="C39" s="7">
        <v>266016</v>
      </c>
      <c r="D39" s="7">
        <v>174598</v>
      </c>
      <c r="E39" s="7">
        <v>2473277</v>
      </c>
      <c r="F39" s="7">
        <v>588332</v>
      </c>
      <c r="G39" s="7">
        <v>58421</v>
      </c>
      <c r="H39" s="7">
        <v>61494</v>
      </c>
      <c r="I39" s="7">
        <v>93529</v>
      </c>
      <c r="J39" s="7">
        <v>213481</v>
      </c>
      <c r="K39" s="7">
        <v>177139</v>
      </c>
      <c r="L39" s="7">
        <v>367737</v>
      </c>
      <c r="M39" s="7">
        <v>238369</v>
      </c>
      <c r="N39" s="7">
        <v>19115</v>
      </c>
      <c r="O39" s="7">
        <v>300125</v>
      </c>
      <c r="P39" s="7">
        <v>82462</v>
      </c>
      <c r="Q39" s="7">
        <v>575157</v>
      </c>
      <c r="R39" s="7">
        <v>1051143</v>
      </c>
      <c r="S39" s="7">
        <v>971956</v>
      </c>
      <c r="T39" s="7">
        <v>1208607</v>
      </c>
      <c r="U39" s="7">
        <v>864852</v>
      </c>
      <c r="V39" s="7">
        <v>767966</v>
      </c>
      <c r="W39" s="7">
        <v>56168</v>
      </c>
      <c r="X39" s="7">
        <v>2922522</v>
      </c>
      <c r="Y39" s="7">
        <v>1493539</v>
      </c>
      <c r="Z39" s="7">
        <v>2014149</v>
      </c>
      <c r="AA39" s="7">
        <v>191930</v>
      </c>
    </row>
    <row r="40" spans="1:27" x14ac:dyDescent="0.25">
      <c r="A40" s="5">
        <v>40878</v>
      </c>
      <c r="B40" s="7">
        <v>13390622</v>
      </c>
      <c r="C40" s="7">
        <v>269622</v>
      </c>
      <c r="D40" s="7">
        <v>176723</v>
      </c>
      <c r="E40" s="7">
        <v>2574595</v>
      </c>
      <c r="F40" s="7">
        <v>606460</v>
      </c>
      <c r="G40" s="7">
        <v>56542</v>
      </c>
      <c r="H40" s="7">
        <v>63007</v>
      </c>
      <c r="I40" s="7">
        <v>95382</v>
      </c>
      <c r="J40" s="7">
        <v>229535</v>
      </c>
      <c r="K40" s="7">
        <v>181495</v>
      </c>
      <c r="L40" s="7">
        <v>390300</v>
      </c>
      <c r="M40" s="7">
        <v>242900</v>
      </c>
      <c r="N40" s="7">
        <v>18836</v>
      </c>
      <c r="O40" s="7">
        <v>325566</v>
      </c>
      <c r="P40" s="7">
        <v>90847</v>
      </c>
      <c r="Q40" s="7">
        <v>608078</v>
      </c>
      <c r="R40" s="7">
        <v>1054372</v>
      </c>
      <c r="S40" s="7">
        <v>973052</v>
      </c>
      <c r="T40" s="7">
        <v>1249231</v>
      </c>
      <c r="U40" s="7">
        <v>886809</v>
      </c>
      <c r="V40" s="7">
        <v>832470</v>
      </c>
      <c r="W40" s="7">
        <v>55568</v>
      </c>
      <c r="X40" s="7">
        <v>2991323</v>
      </c>
      <c r="Y40" s="7">
        <v>1548653</v>
      </c>
      <c r="Z40" s="7">
        <v>2064654</v>
      </c>
      <c r="AA40" s="7">
        <v>197624</v>
      </c>
    </row>
    <row r="41" spans="1:27" x14ac:dyDescent="0.25">
      <c r="A41" s="5">
        <v>40909</v>
      </c>
      <c r="B41" s="7">
        <v>13614166</v>
      </c>
      <c r="C41" s="7">
        <v>272748</v>
      </c>
      <c r="D41" s="7">
        <v>175413</v>
      </c>
      <c r="E41" s="7">
        <v>2579991</v>
      </c>
      <c r="F41" s="7">
        <v>622081</v>
      </c>
      <c r="G41" s="7">
        <v>57701</v>
      </c>
      <c r="H41" s="7">
        <v>64700</v>
      </c>
      <c r="I41" s="7">
        <v>98958</v>
      </c>
      <c r="J41" s="7">
        <v>238078</v>
      </c>
      <c r="K41" s="7">
        <v>185925</v>
      </c>
      <c r="L41" s="7">
        <v>396727</v>
      </c>
      <c r="M41" s="7">
        <v>245352</v>
      </c>
      <c r="N41" s="7">
        <v>19440</v>
      </c>
      <c r="O41" s="7">
        <v>296743</v>
      </c>
      <c r="P41" s="7">
        <v>62896</v>
      </c>
      <c r="Q41" s="7">
        <v>616328</v>
      </c>
      <c r="R41" s="7">
        <v>1068260</v>
      </c>
      <c r="S41" s="7">
        <v>984167</v>
      </c>
      <c r="T41" s="7">
        <v>1195420</v>
      </c>
      <c r="U41" s="7">
        <v>860493</v>
      </c>
      <c r="V41" s="7">
        <v>977031</v>
      </c>
      <c r="W41" s="7">
        <v>50349</v>
      </c>
      <c r="X41" s="7">
        <v>3002646</v>
      </c>
      <c r="Y41" s="7">
        <v>1581618</v>
      </c>
      <c r="Z41" s="7">
        <v>2154880</v>
      </c>
      <c r="AA41" s="7">
        <v>165244</v>
      </c>
    </row>
    <row r="42" spans="1:27" x14ac:dyDescent="0.25">
      <c r="A42" s="5">
        <v>40940</v>
      </c>
      <c r="B42" s="7">
        <v>13665291</v>
      </c>
      <c r="C42" s="7">
        <v>299709</v>
      </c>
      <c r="D42" s="7">
        <v>177327</v>
      </c>
      <c r="E42" s="7">
        <v>2679003</v>
      </c>
      <c r="F42" s="7">
        <v>627255</v>
      </c>
      <c r="G42" s="7">
        <v>57863</v>
      </c>
      <c r="H42" s="7">
        <v>66435</v>
      </c>
      <c r="I42" s="7">
        <v>109304</v>
      </c>
      <c r="J42" s="7">
        <v>258043</v>
      </c>
      <c r="K42" s="7">
        <v>191431</v>
      </c>
      <c r="L42" s="7">
        <v>410170</v>
      </c>
      <c r="M42" s="7">
        <v>266123</v>
      </c>
      <c r="N42" s="7">
        <v>15775</v>
      </c>
      <c r="O42" s="7">
        <v>305415</v>
      </c>
      <c r="P42" s="7">
        <v>61939</v>
      </c>
      <c r="Q42" s="7">
        <v>647055</v>
      </c>
      <c r="R42" s="7">
        <v>1059486</v>
      </c>
      <c r="S42" s="7">
        <v>982003</v>
      </c>
      <c r="T42" s="7">
        <v>1163950</v>
      </c>
      <c r="U42" s="7">
        <v>842016</v>
      </c>
      <c r="V42" s="7">
        <v>978063</v>
      </c>
      <c r="W42" s="7">
        <v>54097</v>
      </c>
      <c r="X42" s="7">
        <v>3001310</v>
      </c>
      <c r="Y42" s="7">
        <v>1680328</v>
      </c>
      <c r="Z42" s="7">
        <v>1973221</v>
      </c>
      <c r="AA42" s="7">
        <v>183166</v>
      </c>
    </row>
    <row r="43" spans="1:27" x14ac:dyDescent="0.25">
      <c r="A43" s="5">
        <v>40969</v>
      </c>
      <c r="B43" s="7">
        <v>13688549</v>
      </c>
      <c r="C43" s="7">
        <v>309473</v>
      </c>
      <c r="D43" s="7">
        <v>183519</v>
      </c>
      <c r="E43" s="7">
        <v>2669629</v>
      </c>
      <c r="F43" s="7">
        <v>625231</v>
      </c>
      <c r="G43" s="7">
        <v>58164</v>
      </c>
      <c r="H43" s="7">
        <v>66163</v>
      </c>
      <c r="I43" s="7">
        <v>103951</v>
      </c>
      <c r="J43" s="7">
        <v>262977</v>
      </c>
      <c r="K43" s="7">
        <v>195856</v>
      </c>
      <c r="L43" s="7">
        <v>408872</v>
      </c>
      <c r="M43" s="7">
        <v>263096</v>
      </c>
      <c r="N43" s="7">
        <v>15265</v>
      </c>
      <c r="O43" s="7">
        <v>301774</v>
      </c>
      <c r="P43" s="7">
        <v>63735</v>
      </c>
      <c r="Q43" s="7">
        <v>639399</v>
      </c>
      <c r="R43" s="7">
        <v>1059506</v>
      </c>
      <c r="S43" s="7">
        <v>980240</v>
      </c>
      <c r="T43" s="7">
        <v>1194292</v>
      </c>
      <c r="U43" s="7">
        <v>861304</v>
      </c>
      <c r="V43" s="7">
        <v>925691</v>
      </c>
      <c r="W43" s="7">
        <v>53994</v>
      </c>
      <c r="X43" s="7">
        <v>3061853</v>
      </c>
      <c r="Y43" s="7">
        <v>1675702</v>
      </c>
      <c r="Z43" s="7">
        <v>1963667</v>
      </c>
      <c r="AA43" s="7">
        <v>189337</v>
      </c>
    </row>
    <row r="44" spans="1:27" x14ac:dyDescent="0.25">
      <c r="A44" s="5">
        <v>41000</v>
      </c>
      <c r="B44" s="7">
        <v>13942792</v>
      </c>
      <c r="C44" s="7">
        <v>324975</v>
      </c>
      <c r="D44" s="7">
        <v>189589</v>
      </c>
      <c r="E44" s="7">
        <v>2698040</v>
      </c>
      <c r="F44" s="7">
        <v>620517</v>
      </c>
      <c r="G44" s="7">
        <v>59687</v>
      </c>
      <c r="H44" s="7">
        <v>67758</v>
      </c>
      <c r="I44" s="7">
        <v>104307</v>
      </c>
      <c r="J44" s="7">
        <v>262115</v>
      </c>
      <c r="K44" s="7">
        <v>200240</v>
      </c>
      <c r="L44" s="7">
        <v>406355</v>
      </c>
      <c r="M44" s="7">
        <v>271446</v>
      </c>
      <c r="N44" s="7">
        <v>15603</v>
      </c>
      <c r="O44" s="7">
        <v>312024</v>
      </c>
      <c r="P44" s="7">
        <v>66095</v>
      </c>
      <c r="Q44" s="7">
        <v>629801</v>
      </c>
      <c r="R44" s="7">
        <v>1082765</v>
      </c>
      <c r="S44" s="7">
        <v>1003080</v>
      </c>
      <c r="T44" s="7">
        <v>1230767</v>
      </c>
      <c r="U44" s="7">
        <v>895788</v>
      </c>
      <c r="V44" s="7">
        <v>944832</v>
      </c>
      <c r="W44" s="7">
        <v>53891</v>
      </c>
      <c r="X44" s="7">
        <v>3106311</v>
      </c>
      <c r="Y44" s="7">
        <v>1712399</v>
      </c>
      <c r="Z44" s="7">
        <v>2008899</v>
      </c>
      <c r="AA44" s="7">
        <v>204003</v>
      </c>
    </row>
    <row r="45" spans="1:27" x14ac:dyDescent="0.25">
      <c r="A45" s="5">
        <v>41030</v>
      </c>
      <c r="B45" s="7">
        <v>14297805</v>
      </c>
      <c r="C45" s="7">
        <v>351514</v>
      </c>
      <c r="D45" s="7">
        <v>214193</v>
      </c>
      <c r="E45" s="7">
        <v>2721570</v>
      </c>
      <c r="F45" s="7">
        <v>623995</v>
      </c>
      <c r="G45" s="7">
        <v>60682</v>
      </c>
      <c r="H45" s="7">
        <v>69163</v>
      </c>
      <c r="I45" s="7">
        <v>111394</v>
      </c>
      <c r="J45" s="7">
        <v>263914</v>
      </c>
      <c r="K45" s="7">
        <v>202415</v>
      </c>
      <c r="L45" s="7">
        <v>411646</v>
      </c>
      <c r="M45" s="7">
        <v>270697</v>
      </c>
      <c r="N45" s="7">
        <v>15442</v>
      </c>
      <c r="O45" s="7">
        <v>309300</v>
      </c>
      <c r="P45" s="7">
        <v>63978</v>
      </c>
      <c r="Q45" s="7">
        <v>648538</v>
      </c>
      <c r="R45" s="7">
        <v>1104060</v>
      </c>
      <c r="S45" s="7">
        <v>1022296</v>
      </c>
      <c r="T45" s="7">
        <v>1264229</v>
      </c>
      <c r="U45" s="7">
        <v>910010</v>
      </c>
      <c r="V45" s="7">
        <v>1027772</v>
      </c>
      <c r="W45" s="7">
        <v>51780</v>
      </c>
      <c r="X45" s="7">
        <v>3150114</v>
      </c>
      <c r="Y45" s="7">
        <v>1766873</v>
      </c>
      <c r="Z45" s="7">
        <v>2045130</v>
      </c>
      <c r="AA45" s="7">
        <v>218005</v>
      </c>
    </row>
    <row r="46" spans="1:27" x14ac:dyDescent="0.25">
      <c r="A46" s="5">
        <v>41061</v>
      </c>
      <c r="B46" s="7">
        <v>14368557</v>
      </c>
      <c r="C46" s="7">
        <v>321375</v>
      </c>
      <c r="D46" s="7">
        <v>179040</v>
      </c>
      <c r="E46" s="7">
        <v>2719733</v>
      </c>
      <c r="F46" s="7">
        <v>622747</v>
      </c>
      <c r="G46" s="7">
        <v>62267</v>
      </c>
      <c r="H46" s="7">
        <v>69838</v>
      </c>
      <c r="I46" s="7">
        <v>104692</v>
      </c>
      <c r="J46" s="7">
        <v>266236</v>
      </c>
      <c r="K46" s="7">
        <v>201490</v>
      </c>
      <c r="L46" s="7">
        <v>404785</v>
      </c>
      <c r="M46" s="7">
        <v>273356</v>
      </c>
      <c r="N46" s="7">
        <v>15419</v>
      </c>
      <c r="O46" s="7">
        <v>313022</v>
      </c>
      <c r="P46" s="7">
        <v>63583</v>
      </c>
      <c r="Q46" s="7">
        <v>649977</v>
      </c>
      <c r="R46" s="7">
        <v>1121858</v>
      </c>
      <c r="S46" s="7">
        <v>1039974</v>
      </c>
      <c r="T46" s="7">
        <v>1290910</v>
      </c>
      <c r="U46" s="7">
        <v>923585</v>
      </c>
      <c r="V46" s="7">
        <v>1033210</v>
      </c>
      <c r="W46" s="7">
        <v>56430</v>
      </c>
      <c r="X46" s="7">
        <v>3180825</v>
      </c>
      <c r="Y46" s="7">
        <v>1767332</v>
      </c>
      <c r="Z46" s="7">
        <v>2072101</v>
      </c>
      <c r="AA46" s="7">
        <v>211236</v>
      </c>
    </row>
    <row r="47" spans="1:27" x14ac:dyDescent="0.25">
      <c r="A47" s="5">
        <v>41091</v>
      </c>
      <c r="B47" s="7">
        <v>14632297</v>
      </c>
      <c r="C47" s="7">
        <v>326370</v>
      </c>
      <c r="D47" s="7">
        <v>181218</v>
      </c>
      <c r="E47" s="7">
        <v>2742099</v>
      </c>
      <c r="F47" s="7">
        <v>612366</v>
      </c>
      <c r="G47" s="7">
        <v>64003</v>
      </c>
      <c r="H47" s="7">
        <v>70899</v>
      </c>
      <c r="I47" s="7">
        <v>108746</v>
      </c>
      <c r="J47" s="7">
        <v>259099</v>
      </c>
      <c r="K47" s="7">
        <v>202985</v>
      </c>
      <c r="L47" s="7">
        <v>406261</v>
      </c>
      <c r="M47" s="7">
        <v>280704</v>
      </c>
      <c r="N47" s="7">
        <v>16879</v>
      </c>
      <c r="O47" s="7">
        <v>318236</v>
      </c>
      <c r="P47" s="7">
        <v>61886</v>
      </c>
      <c r="Q47" s="7">
        <v>671062</v>
      </c>
      <c r="R47" s="7">
        <v>1140100</v>
      </c>
      <c r="S47" s="7">
        <v>1056698</v>
      </c>
      <c r="T47" s="7">
        <v>1321170</v>
      </c>
      <c r="U47" s="7">
        <v>942710</v>
      </c>
      <c r="V47" s="7">
        <v>1057922</v>
      </c>
      <c r="W47" s="7">
        <v>56247</v>
      </c>
      <c r="X47" s="7">
        <v>3256655</v>
      </c>
      <c r="Y47" s="7">
        <v>1798037</v>
      </c>
      <c r="Z47" s="7">
        <v>2103219</v>
      </c>
      <c r="AA47" s="7">
        <v>215663</v>
      </c>
    </row>
    <row r="48" spans="1:27" x14ac:dyDescent="0.25">
      <c r="A48" s="5">
        <v>41122</v>
      </c>
      <c r="B48" s="7">
        <v>14969459</v>
      </c>
      <c r="C48" s="7">
        <v>336311</v>
      </c>
      <c r="D48" s="7">
        <v>191254</v>
      </c>
      <c r="E48" s="7">
        <v>2803291</v>
      </c>
      <c r="F48" s="7">
        <v>624710</v>
      </c>
      <c r="G48" s="7">
        <v>65895</v>
      </c>
      <c r="H48" s="7">
        <v>72337</v>
      </c>
      <c r="I48" s="7">
        <v>112030</v>
      </c>
      <c r="J48" s="7">
        <v>260339</v>
      </c>
      <c r="K48" s="7">
        <v>202884</v>
      </c>
      <c r="L48" s="7">
        <v>419221</v>
      </c>
      <c r="M48" s="7">
        <v>287467</v>
      </c>
      <c r="N48" s="7">
        <v>19100</v>
      </c>
      <c r="O48" s="7">
        <v>330202</v>
      </c>
      <c r="P48" s="7">
        <v>65289</v>
      </c>
      <c r="Q48" s="7">
        <v>688213</v>
      </c>
      <c r="R48" s="7">
        <v>1156013</v>
      </c>
      <c r="S48" s="7">
        <v>1071553</v>
      </c>
      <c r="T48" s="7">
        <v>1357024</v>
      </c>
      <c r="U48" s="7">
        <v>964516</v>
      </c>
      <c r="V48" s="7">
        <v>1096577</v>
      </c>
      <c r="W48" s="7">
        <v>54930</v>
      </c>
      <c r="X48" s="7">
        <v>3321766</v>
      </c>
      <c r="Y48" s="7">
        <v>1851881</v>
      </c>
      <c r="Z48" s="7">
        <v>2143727</v>
      </c>
      <c r="AA48" s="7">
        <v>214656</v>
      </c>
    </row>
    <row r="49" spans="1:27" x14ac:dyDescent="0.25">
      <c r="A49" s="5">
        <v>41153</v>
      </c>
      <c r="B49" s="7">
        <v>15281848</v>
      </c>
      <c r="C49" s="7">
        <v>405813</v>
      </c>
      <c r="D49" s="7">
        <v>263673</v>
      </c>
      <c r="E49" s="7">
        <v>2849188</v>
      </c>
      <c r="F49" s="7">
        <v>631556</v>
      </c>
      <c r="G49" s="7">
        <v>66675</v>
      </c>
      <c r="H49" s="7">
        <v>72936</v>
      </c>
      <c r="I49" s="7">
        <v>119630</v>
      </c>
      <c r="J49" s="7">
        <v>255382</v>
      </c>
      <c r="K49" s="7">
        <v>202479</v>
      </c>
      <c r="L49" s="7">
        <v>425570</v>
      </c>
      <c r="M49" s="7">
        <v>293296</v>
      </c>
      <c r="N49" s="7">
        <v>20407</v>
      </c>
      <c r="O49" s="7">
        <v>344335</v>
      </c>
      <c r="P49" s="7">
        <v>69286</v>
      </c>
      <c r="Q49" s="7">
        <v>695467</v>
      </c>
      <c r="R49" s="7">
        <v>1176198</v>
      </c>
      <c r="S49" s="7">
        <v>1087911</v>
      </c>
      <c r="T49" s="7">
        <v>1381968</v>
      </c>
      <c r="U49" s="7">
        <v>993092</v>
      </c>
      <c r="V49" s="7">
        <v>1097929</v>
      </c>
      <c r="W49" s="7">
        <v>53672</v>
      </c>
      <c r="X49" s="7">
        <v>3392394</v>
      </c>
      <c r="Y49" s="7">
        <v>1886816</v>
      </c>
      <c r="Z49" s="7">
        <v>2186261</v>
      </c>
      <c r="AA49" s="7">
        <v>209814</v>
      </c>
    </row>
    <row r="50" spans="1:27" x14ac:dyDescent="0.25">
      <c r="A50" s="5">
        <v>41183</v>
      </c>
      <c r="B50" s="7">
        <v>15569404</v>
      </c>
      <c r="C50" s="7">
        <v>420824</v>
      </c>
      <c r="D50" s="7">
        <v>263352</v>
      </c>
      <c r="E50" s="7">
        <v>2905010</v>
      </c>
      <c r="F50" s="7">
        <v>656800</v>
      </c>
      <c r="G50" s="7">
        <v>64997</v>
      </c>
      <c r="H50" s="7">
        <v>80106</v>
      </c>
      <c r="I50" s="7">
        <v>120331</v>
      </c>
      <c r="J50" s="7">
        <v>250859</v>
      </c>
      <c r="K50" s="7">
        <v>193894</v>
      </c>
      <c r="L50" s="7">
        <v>421174</v>
      </c>
      <c r="M50" s="7">
        <v>297078</v>
      </c>
      <c r="N50" s="7">
        <v>19868</v>
      </c>
      <c r="O50" s="7">
        <v>357018</v>
      </c>
      <c r="P50" s="7">
        <v>70992</v>
      </c>
      <c r="Q50" s="7">
        <v>714339</v>
      </c>
      <c r="R50" s="7">
        <v>1191902</v>
      </c>
      <c r="S50" s="7">
        <v>1098558</v>
      </c>
      <c r="T50" s="7">
        <v>1427009</v>
      </c>
      <c r="U50" s="7">
        <v>1026412</v>
      </c>
      <c r="V50" s="7">
        <v>1117435</v>
      </c>
      <c r="W50" s="7">
        <v>54320</v>
      </c>
      <c r="X50" s="7">
        <v>3433630</v>
      </c>
      <c r="Y50" s="7">
        <v>1934431</v>
      </c>
      <c r="Z50" s="7">
        <v>2209492</v>
      </c>
      <c r="AA50" s="7">
        <v>215332</v>
      </c>
    </row>
    <row r="51" spans="1:27" x14ac:dyDescent="0.25">
      <c r="A51" s="5">
        <v>41214</v>
      </c>
      <c r="B51" s="7">
        <v>15783933</v>
      </c>
      <c r="C51" s="7">
        <v>429793</v>
      </c>
      <c r="D51" s="7">
        <v>271159</v>
      </c>
      <c r="E51" s="7">
        <v>2920725</v>
      </c>
      <c r="F51" s="7">
        <v>673445</v>
      </c>
      <c r="G51" s="7">
        <v>65116</v>
      </c>
      <c r="H51" s="7">
        <v>79156</v>
      </c>
      <c r="I51" s="7">
        <v>116470</v>
      </c>
      <c r="J51" s="7">
        <v>243315</v>
      </c>
      <c r="K51" s="7">
        <v>193821</v>
      </c>
      <c r="L51" s="7">
        <v>411719</v>
      </c>
      <c r="M51" s="7">
        <v>303408</v>
      </c>
      <c r="N51" s="7">
        <v>19439</v>
      </c>
      <c r="O51" s="7">
        <v>372003</v>
      </c>
      <c r="P51" s="7">
        <v>71789</v>
      </c>
      <c r="Q51" s="7">
        <v>721364</v>
      </c>
      <c r="R51" s="7">
        <v>1198049</v>
      </c>
      <c r="S51" s="7">
        <v>1104566</v>
      </c>
      <c r="T51" s="7">
        <v>1457194</v>
      </c>
      <c r="U51" s="7">
        <v>1049495</v>
      </c>
      <c r="V51" s="7">
        <v>1125174</v>
      </c>
      <c r="W51" s="7">
        <v>54520</v>
      </c>
      <c r="X51" s="7">
        <v>3479102</v>
      </c>
      <c r="Y51" s="7">
        <v>2000022</v>
      </c>
      <c r="Z51" s="7">
        <v>2228739</v>
      </c>
      <c r="AA51" s="7">
        <v>223771</v>
      </c>
    </row>
    <row r="52" spans="1:27" x14ac:dyDescent="0.25">
      <c r="A52" s="5">
        <v>41244</v>
      </c>
      <c r="B52" s="7">
        <v>15951550</v>
      </c>
      <c r="C52" s="7">
        <v>433623</v>
      </c>
      <c r="D52" s="7">
        <v>271344</v>
      </c>
      <c r="E52" s="7">
        <v>2937214</v>
      </c>
      <c r="F52" s="7">
        <v>687301</v>
      </c>
      <c r="G52" s="7">
        <v>66080</v>
      </c>
      <c r="H52" s="7">
        <v>79391</v>
      </c>
      <c r="I52" s="7">
        <v>110716</v>
      </c>
      <c r="J52" s="7">
        <v>243485</v>
      </c>
      <c r="K52" s="7">
        <v>193518</v>
      </c>
      <c r="L52" s="7">
        <v>393985</v>
      </c>
      <c r="M52" s="7">
        <v>304501</v>
      </c>
      <c r="N52" s="7">
        <v>19400</v>
      </c>
      <c r="O52" s="7">
        <v>388320</v>
      </c>
      <c r="P52" s="7">
        <v>73551</v>
      </c>
      <c r="Q52" s="7">
        <v>723106</v>
      </c>
      <c r="R52" s="7">
        <v>1203082</v>
      </c>
      <c r="S52" s="7">
        <v>1109121</v>
      </c>
      <c r="T52" s="7">
        <v>1484940</v>
      </c>
      <c r="U52" s="7">
        <v>1072086</v>
      </c>
      <c r="V52" s="7">
        <v>1135172</v>
      </c>
      <c r="W52" s="7">
        <v>56513</v>
      </c>
      <c r="X52" s="7">
        <v>3528960</v>
      </c>
      <c r="Y52" s="7">
        <v>2006119</v>
      </c>
      <c r="Z52" s="7">
        <v>2268763</v>
      </c>
      <c r="AA52" s="7">
        <v>230571</v>
      </c>
    </row>
    <row r="53" spans="1:27" x14ac:dyDescent="0.25">
      <c r="A53" s="5">
        <v>41275</v>
      </c>
      <c r="B53" s="7">
        <v>16142550</v>
      </c>
      <c r="C53" s="7">
        <v>464519</v>
      </c>
      <c r="D53" s="7">
        <v>302586</v>
      </c>
      <c r="E53" s="7">
        <v>2956322</v>
      </c>
      <c r="F53" s="7">
        <v>709925</v>
      </c>
      <c r="G53" s="7">
        <v>65487</v>
      </c>
      <c r="H53" s="7">
        <v>80064</v>
      </c>
      <c r="I53" s="7">
        <v>102388</v>
      </c>
      <c r="J53" s="7">
        <v>242051</v>
      </c>
      <c r="K53" s="7">
        <v>198274</v>
      </c>
      <c r="L53" s="7">
        <v>388352</v>
      </c>
      <c r="M53" s="7">
        <v>303203</v>
      </c>
      <c r="N53" s="7">
        <v>20275</v>
      </c>
      <c r="O53" s="7">
        <v>396629</v>
      </c>
      <c r="P53" s="7">
        <v>72748</v>
      </c>
      <c r="Q53" s="7">
        <v>726179</v>
      </c>
      <c r="R53" s="7">
        <v>1226680</v>
      </c>
      <c r="S53" s="7">
        <v>1131312</v>
      </c>
      <c r="T53" s="7">
        <v>1413179</v>
      </c>
      <c r="U53" s="7">
        <v>1029488</v>
      </c>
      <c r="V53" s="7">
        <v>1244853</v>
      </c>
      <c r="W53" s="7">
        <v>65490</v>
      </c>
      <c r="X53" s="7">
        <v>3526617</v>
      </c>
      <c r="Y53" s="7">
        <v>1999314</v>
      </c>
      <c r="Z53" s="7">
        <v>2385447</v>
      </c>
      <c r="AA53" s="7">
        <v>199440</v>
      </c>
    </row>
    <row r="54" spans="1:27" x14ac:dyDescent="0.25">
      <c r="A54" s="5">
        <v>41306</v>
      </c>
      <c r="B54" s="7">
        <v>16154644</v>
      </c>
      <c r="C54" s="7">
        <v>463897</v>
      </c>
      <c r="D54" s="7">
        <v>297848</v>
      </c>
      <c r="E54" s="7">
        <v>2976961</v>
      </c>
      <c r="F54" s="7">
        <v>714674</v>
      </c>
      <c r="G54" s="7">
        <v>66349</v>
      </c>
      <c r="H54" s="7">
        <v>78387</v>
      </c>
      <c r="I54" s="7">
        <v>102975</v>
      </c>
      <c r="J54" s="7">
        <v>234913</v>
      </c>
      <c r="K54" s="7">
        <v>199133</v>
      </c>
      <c r="L54" s="7">
        <v>395603</v>
      </c>
      <c r="M54" s="7">
        <v>312567</v>
      </c>
      <c r="N54" s="7">
        <v>20528</v>
      </c>
      <c r="O54" s="7">
        <v>406626</v>
      </c>
      <c r="P54" s="7">
        <v>76064</v>
      </c>
      <c r="Q54" s="7">
        <v>717609</v>
      </c>
      <c r="R54" s="7">
        <v>1226213</v>
      </c>
      <c r="S54" s="7">
        <v>1131126</v>
      </c>
      <c r="T54" s="7">
        <v>1331084</v>
      </c>
      <c r="U54" s="7">
        <v>947552</v>
      </c>
      <c r="V54" s="7">
        <v>1225321</v>
      </c>
      <c r="W54" s="7">
        <v>66335</v>
      </c>
      <c r="X54" s="7">
        <v>3653922</v>
      </c>
      <c r="Y54" s="7">
        <v>2010286</v>
      </c>
      <c r="Z54" s="7">
        <v>2323584</v>
      </c>
      <c r="AA54" s="7">
        <v>225767</v>
      </c>
    </row>
    <row r="55" spans="1:27" x14ac:dyDescent="0.25">
      <c r="A55" s="5">
        <v>41334</v>
      </c>
      <c r="B55" s="7">
        <v>16213063</v>
      </c>
      <c r="C55" s="7">
        <v>487892</v>
      </c>
      <c r="D55" s="7">
        <v>323472</v>
      </c>
      <c r="E55" s="7">
        <v>2941583</v>
      </c>
      <c r="F55" s="7">
        <v>709162</v>
      </c>
      <c r="G55" s="7">
        <v>68146</v>
      </c>
      <c r="H55" s="7">
        <v>82869</v>
      </c>
      <c r="I55" s="7">
        <v>101347</v>
      </c>
      <c r="J55" s="7">
        <v>224583</v>
      </c>
      <c r="K55" s="7">
        <v>203594</v>
      </c>
      <c r="L55" s="7">
        <v>392613</v>
      </c>
      <c r="M55" s="7">
        <v>296415</v>
      </c>
      <c r="N55" s="7">
        <v>20874</v>
      </c>
      <c r="O55" s="7">
        <v>404812</v>
      </c>
      <c r="P55" s="7">
        <v>80518</v>
      </c>
      <c r="Q55" s="7">
        <v>725992</v>
      </c>
      <c r="R55" s="7">
        <v>1235397</v>
      </c>
      <c r="S55" s="7">
        <v>1140185</v>
      </c>
      <c r="T55" s="7">
        <v>1354679</v>
      </c>
      <c r="U55" s="7">
        <v>960572</v>
      </c>
      <c r="V55" s="7">
        <v>1220628</v>
      </c>
      <c r="W55" s="7">
        <v>68457</v>
      </c>
      <c r="X55" s="7">
        <v>3692867</v>
      </c>
      <c r="Y55" s="7">
        <v>1994079</v>
      </c>
      <c r="Z55" s="7">
        <v>2318934</v>
      </c>
      <c r="AA55" s="7">
        <v>241012</v>
      </c>
    </row>
    <row r="56" spans="1:27" x14ac:dyDescent="0.25">
      <c r="A56" s="5">
        <v>41365</v>
      </c>
      <c r="B56" s="7">
        <v>16368185</v>
      </c>
      <c r="C56" s="7">
        <v>494618</v>
      </c>
      <c r="D56" s="7">
        <v>336281</v>
      </c>
      <c r="E56" s="7">
        <v>2956390</v>
      </c>
      <c r="F56" s="7">
        <v>707463</v>
      </c>
      <c r="G56" s="7">
        <v>69048</v>
      </c>
      <c r="H56" s="7">
        <v>83124</v>
      </c>
      <c r="I56" s="7">
        <v>97032</v>
      </c>
      <c r="J56" s="7">
        <v>225431</v>
      </c>
      <c r="K56" s="7">
        <v>208055</v>
      </c>
      <c r="L56" s="7">
        <v>392000</v>
      </c>
      <c r="M56" s="7">
        <v>299753</v>
      </c>
      <c r="N56" s="7">
        <v>16185</v>
      </c>
      <c r="O56" s="7">
        <v>413330</v>
      </c>
      <c r="P56" s="7">
        <v>87418</v>
      </c>
      <c r="Q56" s="7">
        <v>705794</v>
      </c>
      <c r="R56" s="7">
        <v>1260979</v>
      </c>
      <c r="S56" s="7">
        <v>1164591</v>
      </c>
      <c r="T56" s="7">
        <v>1374771</v>
      </c>
      <c r="U56" s="7">
        <v>984689</v>
      </c>
      <c r="V56" s="7">
        <v>1113982</v>
      </c>
      <c r="W56" s="7">
        <v>72652</v>
      </c>
      <c r="X56" s="7">
        <v>3735087</v>
      </c>
      <c r="Y56" s="7">
        <v>2030825</v>
      </c>
      <c r="Z56" s="7">
        <v>2448393</v>
      </c>
      <c r="AA56" s="7">
        <v>247346</v>
      </c>
    </row>
    <row r="57" spans="1:27" x14ac:dyDescent="0.25">
      <c r="A57" s="5">
        <v>41395</v>
      </c>
      <c r="B57" s="7">
        <v>16549931</v>
      </c>
      <c r="C57" s="7">
        <v>481582</v>
      </c>
      <c r="D57" s="7">
        <v>321743</v>
      </c>
      <c r="E57" s="7">
        <v>2960741</v>
      </c>
      <c r="F57" s="7">
        <v>695663</v>
      </c>
      <c r="G57" s="7">
        <v>67895</v>
      </c>
      <c r="H57" s="7">
        <v>84405</v>
      </c>
      <c r="I57" s="7">
        <v>99375</v>
      </c>
      <c r="J57" s="7">
        <v>223288</v>
      </c>
      <c r="K57" s="7">
        <v>212843</v>
      </c>
      <c r="L57" s="7">
        <v>389145</v>
      </c>
      <c r="M57" s="7">
        <v>311368</v>
      </c>
      <c r="N57" s="7">
        <v>14430</v>
      </c>
      <c r="O57" s="7">
        <v>413908</v>
      </c>
      <c r="P57" s="7">
        <v>87863</v>
      </c>
      <c r="Q57" s="7">
        <v>695422</v>
      </c>
      <c r="R57" s="7">
        <v>1285224</v>
      </c>
      <c r="S57" s="7">
        <v>1186922</v>
      </c>
      <c r="T57" s="7">
        <v>1430573</v>
      </c>
      <c r="U57" s="7">
        <v>1032080</v>
      </c>
      <c r="V57" s="7">
        <v>1125276</v>
      </c>
      <c r="W57" s="7">
        <v>68771</v>
      </c>
      <c r="X57" s="7">
        <v>3781185</v>
      </c>
      <c r="Y57" s="7">
        <v>2063461</v>
      </c>
      <c r="Z57" s="7">
        <v>2475933</v>
      </c>
      <c r="AA57" s="7">
        <v>250534</v>
      </c>
    </row>
    <row r="58" spans="1:27" x14ac:dyDescent="0.25">
      <c r="A58" s="5">
        <v>41426</v>
      </c>
      <c r="B58" s="7">
        <v>16668356</v>
      </c>
      <c r="C58" s="7">
        <v>498345</v>
      </c>
      <c r="D58" s="7">
        <v>333809</v>
      </c>
      <c r="E58" s="7">
        <v>2963003</v>
      </c>
      <c r="F58" s="7">
        <v>685155</v>
      </c>
      <c r="G58" s="7">
        <v>68057</v>
      </c>
      <c r="H58" s="7">
        <v>85224</v>
      </c>
      <c r="I58" s="7">
        <v>88781</v>
      </c>
      <c r="J58" s="7">
        <v>220482</v>
      </c>
      <c r="K58" s="7">
        <v>210959</v>
      </c>
      <c r="L58" s="7">
        <v>399031</v>
      </c>
      <c r="M58" s="7">
        <v>318074</v>
      </c>
      <c r="N58" s="7">
        <v>13812</v>
      </c>
      <c r="O58" s="7">
        <v>420458</v>
      </c>
      <c r="P58" s="7">
        <v>90533</v>
      </c>
      <c r="Q58" s="7">
        <v>706997</v>
      </c>
      <c r="R58" s="7">
        <v>1296865</v>
      </c>
      <c r="S58" s="7">
        <v>1199425</v>
      </c>
      <c r="T58" s="7">
        <v>1463850</v>
      </c>
      <c r="U58" s="7">
        <v>1056366</v>
      </c>
      <c r="V58" s="7">
        <v>1115934</v>
      </c>
      <c r="W58" s="7">
        <v>68519</v>
      </c>
      <c r="X58" s="7">
        <v>3796574</v>
      </c>
      <c r="Y58" s="7">
        <v>2078084</v>
      </c>
      <c r="Z58" s="7">
        <v>2517013</v>
      </c>
      <c r="AA58" s="7">
        <v>231691</v>
      </c>
    </row>
    <row r="59" spans="1:27" x14ac:dyDescent="0.25">
      <c r="A59" s="5">
        <v>41456</v>
      </c>
      <c r="B59" s="7">
        <v>16887237</v>
      </c>
      <c r="C59" s="7">
        <v>492743</v>
      </c>
      <c r="D59" s="7">
        <v>329422</v>
      </c>
      <c r="E59" s="7">
        <v>2960784</v>
      </c>
      <c r="F59" s="7">
        <v>669362</v>
      </c>
      <c r="G59" s="7">
        <v>67609</v>
      </c>
      <c r="H59" s="7">
        <v>83623</v>
      </c>
      <c r="I59" s="7">
        <v>84342</v>
      </c>
      <c r="J59" s="7">
        <v>217975</v>
      </c>
      <c r="K59" s="7">
        <v>210011</v>
      </c>
      <c r="L59" s="7">
        <v>391468</v>
      </c>
      <c r="M59" s="7">
        <v>316273</v>
      </c>
      <c r="N59" s="7">
        <v>13763</v>
      </c>
      <c r="O59" s="7">
        <v>438942</v>
      </c>
      <c r="P59" s="7">
        <v>96966</v>
      </c>
      <c r="Q59" s="7">
        <v>722680</v>
      </c>
      <c r="R59" s="7">
        <v>1306371</v>
      </c>
      <c r="S59" s="7">
        <v>1208130</v>
      </c>
      <c r="T59" s="7">
        <v>1492039</v>
      </c>
      <c r="U59" s="7">
        <v>1079215</v>
      </c>
      <c r="V59" s="7">
        <v>1085892</v>
      </c>
      <c r="W59" s="7">
        <v>66340</v>
      </c>
      <c r="X59" s="7">
        <v>3869650</v>
      </c>
      <c r="Y59" s="7">
        <v>2112267</v>
      </c>
      <c r="Z59" s="7">
        <v>2591434</v>
      </c>
      <c r="AA59" s="7">
        <v>253377</v>
      </c>
    </row>
    <row r="60" spans="1:27" x14ac:dyDescent="0.25">
      <c r="A60" s="5">
        <v>41487</v>
      </c>
      <c r="B60" s="7">
        <v>17244214</v>
      </c>
      <c r="C60" s="7">
        <v>492019</v>
      </c>
      <c r="D60" s="7">
        <v>328203</v>
      </c>
      <c r="E60" s="7">
        <v>3075693</v>
      </c>
      <c r="F60" s="7">
        <v>671984</v>
      </c>
      <c r="G60" s="7">
        <v>67054</v>
      </c>
      <c r="H60" s="7">
        <v>83542</v>
      </c>
      <c r="I60" s="7">
        <v>96486</v>
      </c>
      <c r="J60" s="7">
        <v>255070</v>
      </c>
      <c r="K60" s="7">
        <v>211854</v>
      </c>
      <c r="L60" s="7">
        <v>397122</v>
      </c>
      <c r="M60" s="7">
        <v>315017</v>
      </c>
      <c r="N60" s="7">
        <v>12979</v>
      </c>
      <c r="O60" s="7">
        <v>485022</v>
      </c>
      <c r="P60" s="7">
        <v>100415</v>
      </c>
      <c r="Q60" s="7">
        <v>741135</v>
      </c>
      <c r="R60" s="7">
        <v>1317990</v>
      </c>
      <c r="S60" s="7">
        <v>1219816</v>
      </c>
      <c r="T60" s="7">
        <v>1548937</v>
      </c>
      <c r="U60" s="7">
        <v>1121934</v>
      </c>
      <c r="V60" s="7">
        <v>1071820</v>
      </c>
      <c r="W60" s="7">
        <v>67285</v>
      </c>
      <c r="X60" s="7">
        <v>3932605</v>
      </c>
      <c r="Y60" s="7">
        <v>2176714</v>
      </c>
      <c r="Z60" s="7">
        <v>2636286</v>
      </c>
      <c r="AA60" s="7">
        <v>251015</v>
      </c>
    </row>
    <row r="61" spans="1:27" x14ac:dyDescent="0.25">
      <c r="A61" s="5">
        <v>41518</v>
      </c>
      <c r="B61" s="7">
        <v>17513993</v>
      </c>
      <c r="C61" s="7">
        <v>482928</v>
      </c>
      <c r="D61" s="7">
        <v>318700</v>
      </c>
      <c r="E61" s="7">
        <v>3082026</v>
      </c>
      <c r="F61" s="7">
        <v>683711</v>
      </c>
      <c r="G61" s="7">
        <v>65720</v>
      </c>
      <c r="H61" s="7">
        <v>83477</v>
      </c>
      <c r="I61" s="7">
        <v>88692</v>
      </c>
      <c r="J61" s="7">
        <v>258468</v>
      </c>
      <c r="K61" s="7">
        <v>212723</v>
      </c>
      <c r="L61" s="7">
        <v>387969</v>
      </c>
      <c r="M61" s="7">
        <v>313001</v>
      </c>
      <c r="N61" s="7">
        <v>13069</v>
      </c>
      <c r="O61" s="7">
        <v>493731</v>
      </c>
      <c r="P61" s="7">
        <v>100870</v>
      </c>
      <c r="Q61" s="7">
        <v>754440</v>
      </c>
      <c r="R61" s="7">
        <v>1328832</v>
      </c>
      <c r="S61" s="7">
        <v>1232766</v>
      </c>
      <c r="T61" s="7">
        <v>1586690</v>
      </c>
      <c r="U61" s="7">
        <v>1154315</v>
      </c>
      <c r="V61" s="7">
        <v>1094563</v>
      </c>
      <c r="W61" s="7">
        <v>65196</v>
      </c>
      <c r="X61" s="7">
        <v>4005933</v>
      </c>
      <c r="Y61" s="7">
        <v>2225335</v>
      </c>
      <c r="Z61" s="7">
        <v>2710545</v>
      </c>
      <c r="AA61" s="7">
        <v>242701</v>
      </c>
    </row>
    <row r="62" spans="1:27" x14ac:dyDescent="0.25">
      <c r="A62" s="5">
        <v>41548</v>
      </c>
      <c r="B62" s="7">
        <v>17893894</v>
      </c>
      <c r="C62" s="7">
        <v>490063</v>
      </c>
      <c r="D62" s="7">
        <v>325064</v>
      </c>
      <c r="E62" s="7">
        <v>3118802</v>
      </c>
      <c r="F62" s="7">
        <v>695606</v>
      </c>
      <c r="G62" s="7">
        <v>65200</v>
      </c>
      <c r="H62" s="7">
        <v>84539</v>
      </c>
      <c r="I62" s="7">
        <v>88501</v>
      </c>
      <c r="J62" s="7">
        <v>258937</v>
      </c>
      <c r="K62" s="7">
        <v>212605</v>
      </c>
      <c r="L62" s="7">
        <v>386951</v>
      </c>
      <c r="M62" s="7">
        <v>318960</v>
      </c>
      <c r="N62" s="7">
        <v>13216</v>
      </c>
      <c r="O62" s="7">
        <v>504183</v>
      </c>
      <c r="P62" s="7">
        <v>104243</v>
      </c>
      <c r="Q62" s="7">
        <v>806743</v>
      </c>
      <c r="R62" s="7">
        <v>1339049</v>
      </c>
      <c r="S62" s="7">
        <v>1240871</v>
      </c>
      <c r="T62" s="7">
        <v>1623403</v>
      </c>
      <c r="U62" s="7">
        <v>1187276</v>
      </c>
      <c r="V62" s="7">
        <v>1077981</v>
      </c>
      <c r="W62" s="7">
        <v>64694</v>
      </c>
      <c r="X62" s="7">
        <v>4054006</v>
      </c>
      <c r="Y62" s="7">
        <v>2284437</v>
      </c>
      <c r="Z62" s="7">
        <v>2847734</v>
      </c>
      <c r="AA62" s="7">
        <v>251676</v>
      </c>
    </row>
    <row r="63" spans="1:27" x14ac:dyDescent="0.25">
      <c r="A63" s="5">
        <v>41579</v>
      </c>
      <c r="B63" s="7">
        <v>18118634</v>
      </c>
      <c r="C63" s="7">
        <v>509928</v>
      </c>
      <c r="D63" s="7">
        <v>345860</v>
      </c>
      <c r="E63" s="7">
        <v>3171831</v>
      </c>
      <c r="F63" s="7">
        <v>699383</v>
      </c>
      <c r="G63" s="7">
        <v>67275</v>
      </c>
      <c r="H63" s="7">
        <v>84078</v>
      </c>
      <c r="I63" s="7">
        <v>87570</v>
      </c>
      <c r="J63" s="7">
        <v>261135</v>
      </c>
      <c r="K63" s="7">
        <v>212913</v>
      </c>
      <c r="L63" s="7">
        <v>382647</v>
      </c>
      <c r="M63" s="7">
        <v>324744</v>
      </c>
      <c r="N63" s="7">
        <v>11983</v>
      </c>
      <c r="O63" s="7">
        <v>531271</v>
      </c>
      <c r="P63" s="7">
        <v>109075</v>
      </c>
      <c r="Q63" s="7">
        <v>805306</v>
      </c>
      <c r="R63" s="7">
        <v>1349554</v>
      </c>
      <c r="S63" s="7">
        <v>1249584</v>
      </c>
      <c r="T63" s="7">
        <v>1673158</v>
      </c>
      <c r="U63" s="7">
        <v>1211076</v>
      </c>
      <c r="V63" s="7">
        <v>1118582</v>
      </c>
      <c r="W63" s="7">
        <v>65944</v>
      </c>
      <c r="X63" s="7">
        <v>4093890</v>
      </c>
      <c r="Y63" s="7">
        <v>2312546</v>
      </c>
      <c r="Z63" s="7">
        <v>2838605</v>
      </c>
      <c r="AA63" s="7">
        <v>245234</v>
      </c>
    </row>
    <row r="64" spans="1:27" x14ac:dyDescent="0.25">
      <c r="A64" s="5">
        <v>41609</v>
      </c>
      <c r="B64" s="7">
        <v>18324972</v>
      </c>
      <c r="C64" s="7">
        <v>504658</v>
      </c>
      <c r="D64" s="7">
        <v>348743</v>
      </c>
      <c r="E64" s="7">
        <v>3218079</v>
      </c>
      <c r="F64" s="7">
        <v>709735</v>
      </c>
      <c r="G64" s="7">
        <v>68545</v>
      </c>
      <c r="H64" s="7">
        <v>85396</v>
      </c>
      <c r="I64" s="7">
        <v>85927</v>
      </c>
      <c r="J64" s="7">
        <v>263452</v>
      </c>
      <c r="K64" s="7">
        <v>215059</v>
      </c>
      <c r="L64" s="7">
        <v>378622</v>
      </c>
      <c r="M64" s="7">
        <v>329423</v>
      </c>
      <c r="N64" s="7">
        <v>11572</v>
      </c>
      <c r="O64" s="7">
        <v>552760</v>
      </c>
      <c r="P64" s="7">
        <v>118784</v>
      </c>
      <c r="Q64" s="7">
        <v>794483</v>
      </c>
      <c r="R64" s="7">
        <v>1335619</v>
      </c>
      <c r="S64" s="7">
        <v>1239289</v>
      </c>
      <c r="T64" s="7">
        <v>1693249</v>
      </c>
      <c r="U64" s="7">
        <v>1228371</v>
      </c>
      <c r="V64" s="7">
        <v>1092972</v>
      </c>
      <c r="W64" s="7">
        <v>65949</v>
      </c>
      <c r="X64" s="7">
        <v>4145198</v>
      </c>
      <c r="Y64" s="7">
        <v>2394961</v>
      </c>
      <c r="Z64" s="7">
        <v>2891394</v>
      </c>
      <c r="AA64" s="7">
        <v>254359</v>
      </c>
    </row>
    <row r="65" spans="1:27" x14ac:dyDescent="0.25">
      <c r="A65" s="5">
        <v>41640</v>
      </c>
      <c r="B65" s="7">
        <v>17963336</v>
      </c>
      <c r="C65" s="7">
        <v>504146</v>
      </c>
      <c r="D65" s="7">
        <v>349654</v>
      </c>
      <c r="E65" s="7">
        <v>3203854</v>
      </c>
      <c r="F65" s="7">
        <v>707273</v>
      </c>
      <c r="G65" s="7">
        <v>67734</v>
      </c>
      <c r="H65" s="7">
        <v>85792</v>
      </c>
      <c r="I65" s="7">
        <v>83246</v>
      </c>
      <c r="J65" s="7">
        <v>229991</v>
      </c>
      <c r="K65" s="7">
        <v>220394</v>
      </c>
      <c r="L65" s="7">
        <v>385241</v>
      </c>
      <c r="M65" s="7">
        <v>307224</v>
      </c>
      <c r="N65" s="7">
        <v>10697</v>
      </c>
      <c r="O65" s="7">
        <v>572275</v>
      </c>
      <c r="P65" s="7">
        <v>120792</v>
      </c>
      <c r="Q65" s="7">
        <v>782363</v>
      </c>
      <c r="R65" s="7">
        <v>1336792</v>
      </c>
      <c r="S65" s="7">
        <v>1239275</v>
      </c>
      <c r="T65" s="7">
        <v>1566341</v>
      </c>
      <c r="U65" s="7">
        <v>1139005</v>
      </c>
      <c r="V65" s="7">
        <v>1128774</v>
      </c>
      <c r="W65" s="7">
        <v>68011</v>
      </c>
      <c r="X65" s="7">
        <v>3988524</v>
      </c>
      <c r="Y65" s="7">
        <v>2415168</v>
      </c>
      <c r="Z65" s="7">
        <v>2835155</v>
      </c>
      <c r="AA65" s="7">
        <v>202219</v>
      </c>
    </row>
    <row r="66" spans="1:27" x14ac:dyDescent="0.25">
      <c r="A66" s="5">
        <v>41671</v>
      </c>
      <c r="B66" s="7">
        <v>18171673</v>
      </c>
      <c r="C66" s="7">
        <v>522098</v>
      </c>
      <c r="D66" s="7">
        <v>356009</v>
      </c>
      <c r="E66" s="7">
        <v>3302391</v>
      </c>
      <c r="F66" s="7">
        <v>711972</v>
      </c>
      <c r="G66" s="7">
        <v>69588</v>
      </c>
      <c r="H66" s="7">
        <v>84669</v>
      </c>
      <c r="I66" s="7">
        <v>94075</v>
      </c>
      <c r="J66" s="7">
        <v>231116</v>
      </c>
      <c r="K66" s="7">
        <v>255728</v>
      </c>
      <c r="L66" s="7">
        <v>393602</v>
      </c>
      <c r="M66" s="7">
        <v>320349</v>
      </c>
      <c r="N66" s="7">
        <v>12464</v>
      </c>
      <c r="O66" s="7">
        <v>719092</v>
      </c>
      <c r="P66" s="7">
        <v>133129</v>
      </c>
      <c r="Q66" s="7">
        <v>827567</v>
      </c>
      <c r="R66" s="7">
        <v>1327215</v>
      </c>
      <c r="S66" s="7">
        <v>1233434</v>
      </c>
      <c r="T66" s="7">
        <v>1506107</v>
      </c>
      <c r="U66" s="7">
        <v>1092155</v>
      </c>
      <c r="V66" s="7">
        <v>1132309</v>
      </c>
      <c r="W66" s="7">
        <v>70790</v>
      </c>
      <c r="X66" s="7">
        <v>4036604</v>
      </c>
      <c r="Y66" s="7">
        <v>2331213</v>
      </c>
      <c r="Z66" s="7">
        <v>2951524</v>
      </c>
      <c r="AA66" s="7">
        <v>234645</v>
      </c>
    </row>
    <row r="67" spans="1:27" x14ac:dyDescent="0.25">
      <c r="A67" s="5">
        <v>41699</v>
      </c>
      <c r="B67" s="7">
        <v>18184819</v>
      </c>
      <c r="C67" s="7">
        <v>527975</v>
      </c>
      <c r="D67" s="7">
        <v>361383</v>
      </c>
      <c r="E67" s="7">
        <v>3321596</v>
      </c>
      <c r="F67" s="7">
        <v>714042</v>
      </c>
      <c r="G67" s="7">
        <v>70654</v>
      </c>
      <c r="H67" s="7">
        <v>85437</v>
      </c>
      <c r="I67" s="7">
        <v>92888</v>
      </c>
      <c r="J67" s="7">
        <v>228803</v>
      </c>
      <c r="K67" s="7">
        <v>259239</v>
      </c>
      <c r="L67" s="7">
        <v>420268</v>
      </c>
      <c r="M67" s="7">
        <v>315771</v>
      </c>
      <c r="N67" s="7">
        <v>12617</v>
      </c>
      <c r="O67" s="7">
        <v>717741</v>
      </c>
      <c r="P67" s="7">
        <v>138782</v>
      </c>
      <c r="Q67" s="7">
        <v>828466</v>
      </c>
      <c r="R67" s="7">
        <v>1329206</v>
      </c>
      <c r="S67" s="7">
        <v>1229921</v>
      </c>
      <c r="T67" s="7">
        <v>1531678</v>
      </c>
      <c r="U67" s="7">
        <v>1115783</v>
      </c>
      <c r="V67" s="7">
        <v>1155237</v>
      </c>
      <c r="W67" s="7">
        <v>72825</v>
      </c>
      <c r="X67" s="7">
        <v>4057720</v>
      </c>
      <c r="Y67" s="7">
        <v>2339072</v>
      </c>
      <c r="Z67" s="7">
        <v>2857152</v>
      </c>
      <c r="AA67" s="7">
        <v>236717</v>
      </c>
    </row>
    <row r="68" spans="1:27" x14ac:dyDescent="0.25">
      <c r="A68" s="5">
        <v>41730</v>
      </c>
      <c r="B68" s="7">
        <v>18458007</v>
      </c>
      <c r="C68" s="7">
        <v>597969</v>
      </c>
      <c r="D68" s="7">
        <v>429951</v>
      </c>
      <c r="E68" s="7">
        <v>3439080</v>
      </c>
      <c r="F68" s="7">
        <v>731073</v>
      </c>
      <c r="G68" s="7">
        <v>74066</v>
      </c>
      <c r="H68" s="7">
        <v>83555</v>
      </c>
      <c r="I68" s="7">
        <v>110578</v>
      </c>
      <c r="J68" s="7">
        <v>235304</v>
      </c>
      <c r="K68" s="7">
        <v>263378</v>
      </c>
      <c r="L68" s="7">
        <v>431770</v>
      </c>
      <c r="M68" s="7">
        <v>338206</v>
      </c>
      <c r="N68" s="7">
        <v>11915</v>
      </c>
      <c r="O68" s="7">
        <v>743843</v>
      </c>
      <c r="P68" s="7">
        <v>147053</v>
      </c>
      <c r="Q68" s="7">
        <v>836809</v>
      </c>
      <c r="R68" s="7">
        <v>1345560</v>
      </c>
      <c r="S68" s="7">
        <v>1246046</v>
      </c>
      <c r="T68" s="7">
        <v>1534729</v>
      </c>
      <c r="U68" s="7">
        <v>1108288</v>
      </c>
      <c r="V68" s="7">
        <v>1161538</v>
      </c>
      <c r="W68" s="7">
        <v>78453</v>
      </c>
      <c r="X68" s="7">
        <v>4119163</v>
      </c>
      <c r="Y68" s="7">
        <v>2365190</v>
      </c>
      <c r="Z68" s="7">
        <v>2807186</v>
      </c>
      <c r="AA68" s="7">
        <v>250783</v>
      </c>
    </row>
    <row r="69" spans="1:27" x14ac:dyDescent="0.25">
      <c r="A69" s="5">
        <v>41760</v>
      </c>
      <c r="B69" s="7">
        <v>18790061</v>
      </c>
      <c r="C69" s="7">
        <v>586918</v>
      </c>
      <c r="D69" s="7">
        <v>416376</v>
      </c>
      <c r="E69" s="7">
        <v>3553125</v>
      </c>
      <c r="F69" s="7">
        <v>732263</v>
      </c>
      <c r="G69" s="7">
        <v>73381</v>
      </c>
      <c r="H69" s="7">
        <v>85671</v>
      </c>
      <c r="I69" s="7">
        <v>145915</v>
      </c>
      <c r="J69" s="7">
        <v>240878</v>
      </c>
      <c r="K69" s="7">
        <v>267456</v>
      </c>
      <c r="L69" s="7">
        <v>460147</v>
      </c>
      <c r="M69" s="7">
        <v>357013</v>
      </c>
      <c r="N69" s="7">
        <v>12159</v>
      </c>
      <c r="O69" s="7">
        <v>755435</v>
      </c>
      <c r="P69" s="7">
        <v>147969</v>
      </c>
      <c r="Q69" s="7">
        <v>879186</v>
      </c>
      <c r="R69" s="7">
        <v>1353122</v>
      </c>
      <c r="S69" s="7">
        <v>1253781</v>
      </c>
      <c r="T69" s="7">
        <v>1565673</v>
      </c>
      <c r="U69" s="7">
        <v>1136263</v>
      </c>
      <c r="V69" s="7">
        <v>1200955</v>
      </c>
      <c r="W69" s="7">
        <v>80304</v>
      </c>
      <c r="X69" s="7">
        <v>4158789</v>
      </c>
      <c r="Y69" s="7">
        <v>2367950</v>
      </c>
      <c r="Z69" s="7">
        <v>2870710</v>
      </c>
      <c r="AA69" s="7">
        <v>253633</v>
      </c>
    </row>
    <row r="70" spans="1:27" x14ac:dyDescent="0.25">
      <c r="A70" s="5">
        <v>41791</v>
      </c>
      <c r="B70" s="7">
        <v>19052992</v>
      </c>
      <c r="C70" s="7">
        <v>622765</v>
      </c>
      <c r="D70" s="7">
        <v>421062</v>
      </c>
      <c r="E70" s="7">
        <v>3605223</v>
      </c>
      <c r="F70" s="7">
        <v>728901</v>
      </c>
      <c r="G70" s="7">
        <v>73183</v>
      </c>
      <c r="H70" s="7">
        <v>87982</v>
      </c>
      <c r="I70" s="7">
        <v>140730</v>
      </c>
      <c r="J70" s="7">
        <v>233641</v>
      </c>
      <c r="K70" s="7">
        <v>268382</v>
      </c>
      <c r="L70" s="7">
        <v>468269</v>
      </c>
      <c r="M70" s="7">
        <v>373487</v>
      </c>
      <c r="N70" s="7">
        <v>12733</v>
      </c>
      <c r="O70" s="7">
        <v>779119</v>
      </c>
      <c r="P70" s="7">
        <v>153198</v>
      </c>
      <c r="Q70" s="7">
        <v>886769</v>
      </c>
      <c r="R70" s="7">
        <v>1358623</v>
      </c>
      <c r="S70" s="7">
        <v>1255555</v>
      </c>
      <c r="T70" s="7">
        <v>1627451</v>
      </c>
      <c r="U70" s="7">
        <v>1172085</v>
      </c>
      <c r="V70" s="7">
        <v>1192650</v>
      </c>
      <c r="W70" s="7">
        <v>80404</v>
      </c>
      <c r="X70" s="7">
        <v>4191399</v>
      </c>
      <c r="Y70" s="7">
        <v>2408626</v>
      </c>
      <c r="Z70" s="7">
        <v>2912176</v>
      </c>
      <c r="AA70" s="7">
        <v>247310</v>
      </c>
    </row>
    <row r="71" spans="1:27" x14ac:dyDescent="0.25">
      <c r="A71" s="5">
        <v>41821</v>
      </c>
      <c r="B71" s="7">
        <v>19252898</v>
      </c>
      <c r="C71" s="7">
        <v>626060</v>
      </c>
      <c r="D71" s="7">
        <v>409728</v>
      </c>
      <c r="E71" s="7">
        <v>3645576</v>
      </c>
      <c r="F71" s="7">
        <v>720658</v>
      </c>
      <c r="G71" s="7">
        <v>84979</v>
      </c>
      <c r="H71" s="7">
        <v>87230</v>
      </c>
      <c r="I71" s="7">
        <v>139009</v>
      </c>
      <c r="J71" s="7">
        <v>236832</v>
      </c>
      <c r="K71" s="7">
        <v>268911</v>
      </c>
      <c r="L71" s="7">
        <v>467461</v>
      </c>
      <c r="M71" s="7">
        <v>375742</v>
      </c>
      <c r="N71" s="7">
        <v>11976</v>
      </c>
      <c r="O71" s="7">
        <v>805279</v>
      </c>
      <c r="P71" s="7">
        <v>164654</v>
      </c>
      <c r="Q71" s="7">
        <v>900198</v>
      </c>
      <c r="R71" s="7">
        <v>1377005</v>
      </c>
      <c r="S71" s="7">
        <v>1267570</v>
      </c>
      <c r="T71" s="7">
        <v>1654437</v>
      </c>
      <c r="U71" s="7">
        <v>1194137</v>
      </c>
      <c r="V71" s="7">
        <v>1194887</v>
      </c>
      <c r="W71" s="7">
        <v>76622</v>
      </c>
      <c r="X71" s="7">
        <v>4196439</v>
      </c>
      <c r="Y71" s="7">
        <v>2437065</v>
      </c>
      <c r="Z71" s="7">
        <v>2969047</v>
      </c>
      <c r="AA71" s="7">
        <v>252184</v>
      </c>
    </row>
    <row r="72" spans="1:27" x14ac:dyDescent="0.25">
      <c r="A72" s="5">
        <v>41852</v>
      </c>
      <c r="B72" s="7">
        <v>19515026</v>
      </c>
      <c r="C72" s="7">
        <v>645591</v>
      </c>
      <c r="D72" s="7">
        <v>428467</v>
      </c>
      <c r="E72" s="7">
        <v>3701197</v>
      </c>
      <c r="F72" s="7">
        <v>732631</v>
      </c>
      <c r="G72" s="7">
        <v>88259</v>
      </c>
      <c r="H72" s="7">
        <v>87600</v>
      </c>
      <c r="I72" s="7">
        <v>130364</v>
      </c>
      <c r="J72" s="7">
        <v>235964</v>
      </c>
      <c r="K72" s="7">
        <v>268286</v>
      </c>
      <c r="L72" s="7">
        <v>469670</v>
      </c>
      <c r="M72" s="7">
        <v>391249</v>
      </c>
      <c r="N72" s="7">
        <v>10777</v>
      </c>
      <c r="O72" s="7">
        <v>840481</v>
      </c>
      <c r="P72" s="7">
        <v>167630</v>
      </c>
      <c r="Q72" s="7">
        <v>914507</v>
      </c>
      <c r="R72" s="7">
        <v>1374603</v>
      </c>
      <c r="S72" s="7">
        <v>1263614</v>
      </c>
      <c r="T72" s="7">
        <v>1866165</v>
      </c>
      <c r="U72" s="7">
        <v>1386451</v>
      </c>
      <c r="V72" s="7">
        <v>1145044</v>
      </c>
      <c r="W72" s="7">
        <v>85651</v>
      </c>
      <c r="X72" s="7">
        <v>4228251</v>
      </c>
      <c r="Y72" s="7">
        <v>2361254</v>
      </c>
      <c r="Z72" s="7">
        <v>3024826</v>
      </c>
      <c r="AA72" s="7">
        <v>253588</v>
      </c>
    </row>
    <row r="73" spans="1:27" x14ac:dyDescent="0.25">
      <c r="A73" s="5">
        <v>41883</v>
      </c>
      <c r="B73" s="7">
        <v>19563005</v>
      </c>
      <c r="C73" s="7">
        <v>697030</v>
      </c>
      <c r="D73" s="7">
        <v>476934</v>
      </c>
      <c r="E73" s="7">
        <v>3730408</v>
      </c>
      <c r="F73" s="7">
        <v>739589</v>
      </c>
      <c r="G73" s="7">
        <v>88933</v>
      </c>
      <c r="H73" s="7">
        <v>89258</v>
      </c>
      <c r="I73" s="7">
        <v>128942</v>
      </c>
      <c r="J73" s="7">
        <v>230876</v>
      </c>
      <c r="K73" s="7">
        <v>264444</v>
      </c>
      <c r="L73" s="7">
        <v>465494</v>
      </c>
      <c r="M73" s="7">
        <v>401104</v>
      </c>
      <c r="N73" s="7">
        <v>10601</v>
      </c>
      <c r="O73" s="7">
        <v>862802</v>
      </c>
      <c r="P73" s="7">
        <v>173987</v>
      </c>
      <c r="Q73" s="7">
        <v>920870</v>
      </c>
      <c r="R73" s="7">
        <v>1375450</v>
      </c>
      <c r="S73" s="7">
        <v>1262715</v>
      </c>
      <c r="T73" s="7">
        <v>1899587</v>
      </c>
      <c r="U73" s="7">
        <v>1418689</v>
      </c>
      <c r="V73" s="7">
        <v>1149938</v>
      </c>
      <c r="W73" s="7">
        <v>83719</v>
      </c>
      <c r="X73" s="7">
        <v>4274848</v>
      </c>
      <c r="Y73" s="7">
        <v>2256645</v>
      </c>
      <c r="Z73" s="7">
        <v>3006820</v>
      </c>
      <c r="AA73" s="7">
        <v>251409</v>
      </c>
    </row>
    <row r="74" spans="1:27" x14ac:dyDescent="0.25">
      <c r="A74" s="5">
        <v>41913</v>
      </c>
      <c r="B74" s="7">
        <v>19777433</v>
      </c>
      <c r="C74" s="7">
        <v>733845</v>
      </c>
      <c r="D74" s="7">
        <v>512980</v>
      </c>
      <c r="E74" s="7">
        <v>3765662</v>
      </c>
      <c r="F74" s="7">
        <v>746079</v>
      </c>
      <c r="G74" s="7">
        <v>83997</v>
      </c>
      <c r="H74" s="7">
        <v>77232</v>
      </c>
      <c r="I74" s="7">
        <v>130587</v>
      </c>
      <c r="J74" s="7">
        <v>230888</v>
      </c>
      <c r="K74" s="7">
        <v>257872</v>
      </c>
      <c r="L74" s="7">
        <v>464229</v>
      </c>
      <c r="M74" s="7">
        <v>420401</v>
      </c>
      <c r="N74" s="7">
        <v>10270</v>
      </c>
      <c r="O74" s="7">
        <v>890114</v>
      </c>
      <c r="P74" s="7">
        <v>174656</v>
      </c>
      <c r="Q74" s="7">
        <v>928307</v>
      </c>
      <c r="R74" s="7">
        <v>1372764</v>
      </c>
      <c r="S74" s="7">
        <v>1259396</v>
      </c>
      <c r="T74" s="7">
        <v>1893497</v>
      </c>
      <c r="U74" s="7">
        <v>1439015</v>
      </c>
      <c r="V74" s="7">
        <v>1152858</v>
      </c>
      <c r="W74" s="7">
        <v>83601</v>
      </c>
      <c r="X74" s="7">
        <v>4279127</v>
      </c>
      <c r="Y74" s="7">
        <v>2339599</v>
      </c>
      <c r="Z74" s="7">
        <v>3069159</v>
      </c>
      <c r="AA74" s="7">
        <v>242615</v>
      </c>
    </row>
    <row r="75" spans="1:27" x14ac:dyDescent="0.25">
      <c r="A75" s="5">
        <v>41944</v>
      </c>
      <c r="B75" s="7">
        <v>20078999</v>
      </c>
      <c r="C75" s="7">
        <v>752382</v>
      </c>
      <c r="D75" s="7">
        <v>528665</v>
      </c>
      <c r="E75" s="7">
        <v>3843848</v>
      </c>
      <c r="F75" s="7">
        <v>759676</v>
      </c>
      <c r="G75" s="7">
        <v>82816</v>
      </c>
      <c r="H75" s="7">
        <v>76833</v>
      </c>
      <c r="I75" s="7">
        <v>136169</v>
      </c>
      <c r="J75" s="7">
        <v>238549</v>
      </c>
      <c r="K75" s="7">
        <v>256143</v>
      </c>
      <c r="L75" s="7">
        <v>478377</v>
      </c>
      <c r="M75" s="7">
        <v>443129</v>
      </c>
      <c r="N75" s="7">
        <v>9734</v>
      </c>
      <c r="O75" s="7">
        <v>907202</v>
      </c>
      <c r="P75" s="7">
        <v>176689</v>
      </c>
      <c r="Q75" s="7">
        <v>951857</v>
      </c>
      <c r="R75" s="7">
        <v>1369405</v>
      </c>
      <c r="S75" s="7">
        <v>1255383</v>
      </c>
      <c r="T75" s="7">
        <v>1896831</v>
      </c>
      <c r="U75" s="7">
        <v>1445483</v>
      </c>
      <c r="V75" s="7">
        <v>1145997</v>
      </c>
      <c r="W75" s="7">
        <v>84379</v>
      </c>
      <c r="X75" s="7">
        <v>4344890</v>
      </c>
      <c r="Y75" s="7">
        <v>2390240</v>
      </c>
      <c r="Z75" s="7">
        <v>3130154</v>
      </c>
      <c r="AA75" s="7">
        <v>253395</v>
      </c>
    </row>
    <row r="76" spans="1:27" x14ac:dyDescent="0.25">
      <c r="A76" s="5">
        <v>41974</v>
      </c>
      <c r="B76" s="7">
        <v>20367335</v>
      </c>
      <c r="C76" s="7">
        <v>779460</v>
      </c>
      <c r="D76" s="7">
        <v>538204</v>
      </c>
      <c r="E76" s="7">
        <v>3920910</v>
      </c>
      <c r="F76" s="7">
        <v>780507</v>
      </c>
      <c r="G76" s="7">
        <v>72798</v>
      </c>
      <c r="H76" s="7">
        <v>78155</v>
      </c>
      <c r="I76" s="7">
        <v>137832</v>
      </c>
      <c r="J76" s="7">
        <v>244248</v>
      </c>
      <c r="K76" s="7">
        <v>257105</v>
      </c>
      <c r="L76" s="7">
        <v>479397</v>
      </c>
      <c r="M76" s="7">
        <v>454200</v>
      </c>
      <c r="N76" s="7">
        <v>9820</v>
      </c>
      <c r="O76" s="7">
        <v>944332</v>
      </c>
      <c r="P76" s="7">
        <v>182151</v>
      </c>
      <c r="Q76" s="7">
        <v>966732</v>
      </c>
      <c r="R76" s="7">
        <v>1360132</v>
      </c>
      <c r="S76" s="7">
        <v>1252694</v>
      </c>
      <c r="T76" s="7">
        <v>1880941</v>
      </c>
      <c r="U76" s="7">
        <v>1429020</v>
      </c>
      <c r="V76" s="7">
        <v>1181050</v>
      </c>
      <c r="W76" s="7">
        <v>86535</v>
      </c>
      <c r="X76" s="7">
        <v>4359566</v>
      </c>
      <c r="Y76" s="7">
        <v>2442599</v>
      </c>
      <c r="Z76" s="7">
        <v>3207868</v>
      </c>
      <c r="AA76" s="7">
        <v>268077</v>
      </c>
    </row>
    <row r="77" spans="1:27" x14ac:dyDescent="0.25">
      <c r="A77" s="5">
        <v>42005</v>
      </c>
      <c r="B77" s="7">
        <v>20659502</v>
      </c>
      <c r="C77" s="7">
        <v>741424</v>
      </c>
      <c r="D77" s="7">
        <v>517579</v>
      </c>
      <c r="E77" s="7">
        <v>4031074</v>
      </c>
      <c r="F77" s="7">
        <v>781560</v>
      </c>
      <c r="G77" s="7">
        <v>77983</v>
      </c>
      <c r="H77" s="7">
        <v>84704</v>
      </c>
      <c r="I77" s="7">
        <v>153546</v>
      </c>
      <c r="J77" s="7">
        <v>249944</v>
      </c>
      <c r="K77" s="7">
        <v>260341</v>
      </c>
      <c r="L77" s="7">
        <v>514132</v>
      </c>
      <c r="M77" s="7">
        <v>463282</v>
      </c>
      <c r="N77" s="7">
        <v>10009</v>
      </c>
      <c r="O77" s="7">
        <v>975169</v>
      </c>
      <c r="P77" s="7">
        <v>180853</v>
      </c>
      <c r="Q77" s="7">
        <v>962854</v>
      </c>
      <c r="R77" s="7">
        <v>1346797</v>
      </c>
      <c r="S77" s="7">
        <v>1236067</v>
      </c>
      <c r="T77" s="7">
        <v>1818315</v>
      </c>
      <c r="U77" s="7">
        <v>1381163</v>
      </c>
      <c r="V77" s="7">
        <v>1291583</v>
      </c>
      <c r="W77" s="7">
        <v>100567</v>
      </c>
      <c r="X77" s="7">
        <v>4474798</v>
      </c>
      <c r="Y77" s="7">
        <v>2598915</v>
      </c>
      <c r="Z77" s="7">
        <v>3215315</v>
      </c>
      <c r="AA77" s="7">
        <v>178427</v>
      </c>
    </row>
    <row r="78" spans="1:27" x14ac:dyDescent="0.25">
      <c r="A78" s="5">
        <v>42036</v>
      </c>
      <c r="B78" s="7">
        <v>20552318</v>
      </c>
      <c r="C78" s="7">
        <v>744140</v>
      </c>
      <c r="D78" s="7">
        <v>523530</v>
      </c>
      <c r="E78" s="7">
        <v>4065766</v>
      </c>
      <c r="F78" s="7">
        <v>792433</v>
      </c>
      <c r="G78" s="7">
        <v>78397</v>
      </c>
      <c r="H78" s="7">
        <v>85121</v>
      </c>
      <c r="I78" s="7">
        <v>188817</v>
      </c>
      <c r="J78" s="7">
        <v>256239</v>
      </c>
      <c r="K78" s="7">
        <v>264953</v>
      </c>
      <c r="L78" s="7">
        <v>512180</v>
      </c>
      <c r="M78" s="7">
        <v>458345</v>
      </c>
      <c r="N78" s="7">
        <v>10631</v>
      </c>
      <c r="O78" s="7">
        <v>967439</v>
      </c>
      <c r="P78" s="7">
        <v>182512</v>
      </c>
      <c r="Q78" s="7">
        <v>976601</v>
      </c>
      <c r="R78" s="7">
        <v>1334665</v>
      </c>
      <c r="S78" s="7">
        <v>1225830</v>
      </c>
      <c r="T78" s="7">
        <v>1809073</v>
      </c>
      <c r="U78" s="7">
        <v>1371234</v>
      </c>
      <c r="V78" s="7">
        <v>1271552</v>
      </c>
      <c r="W78" s="7">
        <v>101090</v>
      </c>
      <c r="X78" s="7">
        <v>4430697</v>
      </c>
      <c r="Y78" s="7">
        <v>2535285</v>
      </c>
      <c r="Z78" s="7">
        <v>3187296</v>
      </c>
      <c r="AA78" s="7">
        <v>197245</v>
      </c>
    </row>
    <row r="79" spans="1:27" x14ac:dyDescent="0.25">
      <c r="A79" s="5">
        <v>42064</v>
      </c>
      <c r="B79" s="7">
        <v>20360546</v>
      </c>
      <c r="C79" s="7">
        <v>746920</v>
      </c>
      <c r="D79" s="7">
        <v>523052</v>
      </c>
      <c r="E79" s="7">
        <v>3968037</v>
      </c>
      <c r="F79" s="7">
        <v>792486</v>
      </c>
      <c r="G79" s="7">
        <v>78250</v>
      </c>
      <c r="H79" s="7">
        <v>85339</v>
      </c>
      <c r="I79" s="7">
        <v>210135</v>
      </c>
      <c r="J79" s="7">
        <v>257228</v>
      </c>
      <c r="K79" s="7">
        <v>265498</v>
      </c>
      <c r="L79" s="7">
        <v>509717</v>
      </c>
      <c r="M79" s="7">
        <v>446914</v>
      </c>
      <c r="N79" s="7">
        <v>10647</v>
      </c>
      <c r="O79" s="7">
        <v>873995</v>
      </c>
      <c r="P79" s="7">
        <v>173160</v>
      </c>
      <c r="Q79" s="7">
        <v>980279</v>
      </c>
      <c r="R79" s="7">
        <v>1329792</v>
      </c>
      <c r="S79" s="7">
        <v>1221330</v>
      </c>
      <c r="T79" s="7">
        <v>1770744</v>
      </c>
      <c r="U79" s="7">
        <v>1351832</v>
      </c>
      <c r="V79" s="7">
        <v>1309614</v>
      </c>
      <c r="W79" s="7">
        <v>99707</v>
      </c>
      <c r="X79" s="7">
        <v>4366057</v>
      </c>
      <c r="Y79" s="7">
        <v>2528270</v>
      </c>
      <c r="Z79" s="7">
        <v>3159637</v>
      </c>
      <c r="AA79" s="7">
        <v>201195</v>
      </c>
    </row>
    <row r="80" spans="1:27" x14ac:dyDescent="0.25">
      <c r="A80" s="5">
        <v>42095</v>
      </c>
      <c r="B80" s="7">
        <v>20294018</v>
      </c>
      <c r="C80" s="7">
        <v>715984</v>
      </c>
      <c r="D80" s="7">
        <v>493253</v>
      </c>
      <c r="E80" s="7">
        <v>3996643</v>
      </c>
      <c r="F80" s="7">
        <v>797865</v>
      </c>
      <c r="G80" s="7">
        <v>81632</v>
      </c>
      <c r="H80" s="7">
        <v>91605</v>
      </c>
      <c r="I80" s="7">
        <v>209823</v>
      </c>
      <c r="J80" s="7">
        <v>256619</v>
      </c>
      <c r="K80" s="7">
        <v>272137</v>
      </c>
      <c r="L80" s="7">
        <v>515477</v>
      </c>
      <c r="M80" s="7">
        <v>443076</v>
      </c>
      <c r="N80" s="7">
        <v>11646</v>
      </c>
      <c r="O80" s="7">
        <v>881193</v>
      </c>
      <c r="P80" s="7">
        <v>177618</v>
      </c>
      <c r="Q80" s="7">
        <v>964296</v>
      </c>
      <c r="R80" s="7">
        <v>1334948</v>
      </c>
      <c r="S80" s="7">
        <v>1227156</v>
      </c>
      <c r="T80" s="7">
        <v>1751676</v>
      </c>
      <c r="U80" s="7">
        <v>1346215</v>
      </c>
      <c r="V80" s="7">
        <v>1305647</v>
      </c>
      <c r="W80" s="7">
        <v>103560</v>
      </c>
      <c r="X80" s="7">
        <v>4337725</v>
      </c>
      <c r="Y80" s="7">
        <v>2517093</v>
      </c>
      <c r="Z80" s="7">
        <v>3160447</v>
      </c>
      <c r="AA80" s="7">
        <v>209559</v>
      </c>
    </row>
    <row r="81" spans="1:27" x14ac:dyDescent="0.25">
      <c r="A81" s="5">
        <v>42125</v>
      </c>
      <c r="B81" s="7">
        <v>20395438</v>
      </c>
      <c r="C81" s="7">
        <v>695931</v>
      </c>
      <c r="D81" s="7">
        <v>463957</v>
      </c>
      <c r="E81" s="7">
        <v>4051166</v>
      </c>
      <c r="F81" s="7">
        <v>793257</v>
      </c>
      <c r="G81" s="7">
        <v>80885</v>
      </c>
      <c r="H81" s="7">
        <v>92545</v>
      </c>
      <c r="I81" s="7">
        <v>233158</v>
      </c>
      <c r="J81" s="7">
        <v>254531</v>
      </c>
      <c r="K81" s="7">
        <v>277315</v>
      </c>
      <c r="L81" s="7">
        <v>519764</v>
      </c>
      <c r="M81" s="7">
        <v>455313</v>
      </c>
      <c r="N81" s="7">
        <v>12298</v>
      </c>
      <c r="O81" s="7">
        <v>896102</v>
      </c>
      <c r="P81" s="7">
        <v>181743</v>
      </c>
      <c r="Q81" s="7">
        <v>962910</v>
      </c>
      <c r="R81" s="7">
        <v>1347606</v>
      </c>
      <c r="S81" s="7">
        <v>1233511</v>
      </c>
      <c r="T81" s="7">
        <v>1752803</v>
      </c>
      <c r="U81" s="7">
        <v>1363832</v>
      </c>
      <c r="V81" s="7">
        <v>1282119</v>
      </c>
      <c r="W81" s="7">
        <v>112611</v>
      </c>
      <c r="X81" s="7">
        <v>4354491</v>
      </c>
      <c r="Y81" s="7">
        <v>2590452</v>
      </c>
      <c r="Z81" s="7">
        <v>3144396</v>
      </c>
      <c r="AA81" s="7">
        <v>213563</v>
      </c>
    </row>
    <row r="82" spans="1:27" x14ac:dyDescent="0.25">
      <c r="A82" s="5">
        <v>42156</v>
      </c>
      <c r="B82" s="7">
        <v>20308676</v>
      </c>
      <c r="C82" s="7">
        <v>705201</v>
      </c>
      <c r="D82" s="7">
        <v>480887</v>
      </c>
      <c r="E82" s="7">
        <v>4064988</v>
      </c>
      <c r="F82" s="7">
        <v>779955</v>
      </c>
      <c r="G82" s="7">
        <v>83021</v>
      </c>
      <c r="H82" s="7">
        <v>87316</v>
      </c>
      <c r="I82" s="7">
        <v>238872</v>
      </c>
      <c r="J82" s="7">
        <v>250179</v>
      </c>
      <c r="K82" s="7">
        <v>276855</v>
      </c>
      <c r="L82" s="7">
        <v>518285</v>
      </c>
      <c r="M82" s="7">
        <v>458025</v>
      </c>
      <c r="N82" s="7">
        <v>12979</v>
      </c>
      <c r="O82" s="7">
        <v>910350</v>
      </c>
      <c r="P82" s="7">
        <v>191114</v>
      </c>
      <c r="Q82" s="7">
        <v>971803</v>
      </c>
      <c r="R82" s="7">
        <v>1357945</v>
      </c>
      <c r="S82" s="7">
        <v>1246216</v>
      </c>
      <c r="T82" s="7">
        <v>1732907</v>
      </c>
      <c r="U82" s="7">
        <v>1341509</v>
      </c>
      <c r="V82" s="7">
        <v>1225917</v>
      </c>
      <c r="W82" s="7">
        <v>109421</v>
      </c>
      <c r="X82" s="7">
        <v>4293851</v>
      </c>
      <c r="Y82" s="7">
        <v>2607973</v>
      </c>
      <c r="Z82" s="7">
        <v>3156278</v>
      </c>
      <c r="AA82" s="7">
        <v>191812</v>
      </c>
    </row>
    <row r="83" spans="1:27" x14ac:dyDescent="0.25">
      <c r="A83" s="5">
        <v>42186</v>
      </c>
      <c r="B83" s="7">
        <v>20434933</v>
      </c>
      <c r="C83" s="7">
        <v>693193</v>
      </c>
      <c r="D83" s="7">
        <v>467338</v>
      </c>
      <c r="E83" s="7">
        <v>4086212</v>
      </c>
      <c r="F83" s="7">
        <v>769206</v>
      </c>
      <c r="G83" s="7">
        <v>81303</v>
      </c>
      <c r="H83" s="7">
        <v>86968</v>
      </c>
      <c r="I83" s="7">
        <v>236209</v>
      </c>
      <c r="J83" s="7">
        <v>251114</v>
      </c>
      <c r="K83" s="7">
        <v>279202</v>
      </c>
      <c r="L83" s="7">
        <v>521122</v>
      </c>
      <c r="M83" s="7">
        <v>462517</v>
      </c>
      <c r="N83" s="7">
        <v>12745</v>
      </c>
      <c r="O83" s="7">
        <v>934708</v>
      </c>
      <c r="P83" s="7">
        <v>195861</v>
      </c>
      <c r="Q83" s="7">
        <v>979882</v>
      </c>
      <c r="R83" s="7">
        <v>1377337</v>
      </c>
      <c r="S83" s="7">
        <v>1263043</v>
      </c>
      <c r="T83" s="7">
        <v>1719590</v>
      </c>
      <c r="U83" s="7">
        <v>1329025</v>
      </c>
      <c r="V83" s="7">
        <v>1203025</v>
      </c>
      <c r="W83" s="7">
        <v>106864</v>
      </c>
      <c r="X83" s="7">
        <v>4280717</v>
      </c>
      <c r="Y83" s="7">
        <v>2689442</v>
      </c>
      <c r="Z83" s="7">
        <v>3221794</v>
      </c>
      <c r="AA83" s="7">
        <v>183742</v>
      </c>
    </row>
    <row r="84" spans="1:27" x14ac:dyDescent="0.25">
      <c r="A84" s="5">
        <v>42217</v>
      </c>
      <c r="B84" s="7">
        <v>20562088</v>
      </c>
      <c r="C84" s="7">
        <v>658843</v>
      </c>
      <c r="D84" s="7">
        <v>436895</v>
      </c>
      <c r="E84" s="7">
        <v>4172685</v>
      </c>
      <c r="F84" s="7">
        <v>765786</v>
      </c>
      <c r="G84" s="7">
        <v>81533</v>
      </c>
      <c r="H84" s="7">
        <v>84717</v>
      </c>
      <c r="I84" s="7">
        <v>223072</v>
      </c>
      <c r="J84" s="7">
        <v>251140</v>
      </c>
      <c r="K84" s="7">
        <v>278257</v>
      </c>
      <c r="L84" s="7">
        <v>569223</v>
      </c>
      <c r="M84" s="7">
        <v>477298</v>
      </c>
      <c r="N84" s="7">
        <v>11617</v>
      </c>
      <c r="O84" s="7">
        <v>974280</v>
      </c>
      <c r="P84" s="7">
        <v>213433</v>
      </c>
      <c r="Q84" s="7">
        <v>990173</v>
      </c>
      <c r="R84" s="7">
        <v>1386539</v>
      </c>
      <c r="S84" s="7">
        <v>1269795</v>
      </c>
      <c r="T84" s="7">
        <v>1726719</v>
      </c>
      <c r="U84" s="7">
        <v>1337486</v>
      </c>
      <c r="V84" s="7">
        <v>1195301</v>
      </c>
      <c r="W84" s="7">
        <v>108413</v>
      </c>
      <c r="X84" s="7">
        <v>4276955</v>
      </c>
      <c r="Y84" s="7">
        <v>2779484</v>
      </c>
      <c r="Z84" s="7">
        <v>3200187</v>
      </c>
      <c r="AA84" s="7">
        <v>175201</v>
      </c>
    </row>
    <row r="85" spans="1:27" x14ac:dyDescent="0.25">
      <c r="A85" s="5">
        <v>42248</v>
      </c>
      <c r="B85" s="7">
        <v>20674685</v>
      </c>
      <c r="C85" s="7">
        <v>670970</v>
      </c>
      <c r="D85" s="7">
        <v>501352</v>
      </c>
      <c r="E85" s="7">
        <v>4264995</v>
      </c>
      <c r="F85" s="7">
        <v>782899</v>
      </c>
      <c r="G85" s="7">
        <v>80855</v>
      </c>
      <c r="H85" s="7">
        <v>86550</v>
      </c>
      <c r="I85" s="7">
        <v>234830</v>
      </c>
      <c r="J85" s="7">
        <v>263252</v>
      </c>
      <c r="K85" s="7">
        <v>292935</v>
      </c>
      <c r="L85" s="7">
        <v>580984</v>
      </c>
      <c r="M85" s="7">
        <v>472943</v>
      </c>
      <c r="N85" s="7">
        <v>11034</v>
      </c>
      <c r="O85" s="7">
        <v>1011542</v>
      </c>
      <c r="P85" s="7">
        <v>221413</v>
      </c>
      <c r="Q85" s="7">
        <v>1013457</v>
      </c>
      <c r="R85" s="7">
        <v>1391071</v>
      </c>
      <c r="S85" s="7">
        <v>1334182</v>
      </c>
      <c r="T85" s="7">
        <v>1662355</v>
      </c>
      <c r="U85" s="7">
        <v>1350658</v>
      </c>
      <c r="V85" s="7">
        <v>1196425</v>
      </c>
      <c r="W85" s="7">
        <v>101389</v>
      </c>
      <c r="X85" s="7">
        <v>4276072</v>
      </c>
      <c r="Y85" s="7">
        <v>2820871</v>
      </c>
      <c r="Z85" s="7">
        <v>3210497</v>
      </c>
      <c r="AA85" s="7">
        <v>167974</v>
      </c>
    </row>
    <row r="86" spans="1:27" x14ac:dyDescent="0.25">
      <c r="A86" s="5">
        <v>42278</v>
      </c>
      <c r="B86" s="7">
        <v>20842194</v>
      </c>
      <c r="C86" s="7">
        <v>679076</v>
      </c>
      <c r="D86" s="7">
        <v>508348</v>
      </c>
      <c r="E86" s="7">
        <v>4321777</v>
      </c>
      <c r="F86" s="7">
        <v>802672</v>
      </c>
      <c r="G86" s="7">
        <v>72007</v>
      </c>
      <c r="H86" s="7">
        <v>86877</v>
      </c>
      <c r="I86" s="7">
        <v>231643</v>
      </c>
      <c r="J86" s="7">
        <v>263916</v>
      </c>
      <c r="K86" s="7">
        <v>289304</v>
      </c>
      <c r="L86" s="7">
        <v>639753</v>
      </c>
      <c r="M86" s="7">
        <v>480483</v>
      </c>
      <c r="N86" s="7">
        <v>9188</v>
      </c>
      <c r="O86" s="7">
        <v>997611</v>
      </c>
      <c r="P86" s="7">
        <v>225003</v>
      </c>
      <c r="Q86" s="7">
        <v>1029646</v>
      </c>
      <c r="R86" s="7">
        <v>1397352</v>
      </c>
      <c r="S86" s="7">
        <v>1339403</v>
      </c>
      <c r="T86" s="7">
        <v>1679249</v>
      </c>
      <c r="U86" s="7">
        <v>1365606</v>
      </c>
      <c r="V86" s="7">
        <v>1191487</v>
      </c>
      <c r="W86" s="7">
        <v>112116</v>
      </c>
      <c r="X86" s="7">
        <v>4290708</v>
      </c>
      <c r="Y86" s="7">
        <v>2809340</v>
      </c>
      <c r="Z86" s="7">
        <v>3262564</v>
      </c>
      <c r="AA86" s="7">
        <v>180996</v>
      </c>
    </row>
    <row r="87" spans="1:27" x14ac:dyDescent="0.25">
      <c r="A87" s="5">
        <v>42309</v>
      </c>
      <c r="B87" s="7">
        <v>21104591</v>
      </c>
      <c r="C87" s="7">
        <v>778842</v>
      </c>
      <c r="D87" s="7">
        <v>608884</v>
      </c>
      <c r="E87" s="7">
        <v>4443691</v>
      </c>
      <c r="F87" s="7">
        <v>839379</v>
      </c>
      <c r="G87" s="7">
        <v>74803</v>
      </c>
      <c r="H87" s="7">
        <v>90894</v>
      </c>
      <c r="I87" s="7">
        <v>241337</v>
      </c>
      <c r="J87" s="7">
        <v>266049</v>
      </c>
      <c r="K87" s="7">
        <v>290220</v>
      </c>
      <c r="L87" s="7">
        <v>669747</v>
      </c>
      <c r="M87" s="7">
        <v>480847</v>
      </c>
      <c r="N87" s="7">
        <v>10001</v>
      </c>
      <c r="O87" s="7">
        <v>1029776</v>
      </c>
      <c r="P87" s="7">
        <v>230043</v>
      </c>
      <c r="Q87" s="7">
        <v>1068934</v>
      </c>
      <c r="R87" s="7">
        <v>1401234</v>
      </c>
      <c r="S87" s="7">
        <v>1343086</v>
      </c>
      <c r="T87" s="7">
        <v>1652980</v>
      </c>
      <c r="U87" s="7">
        <v>1343080</v>
      </c>
      <c r="V87" s="7">
        <v>1172535</v>
      </c>
      <c r="W87" s="7">
        <v>109769</v>
      </c>
      <c r="X87" s="7">
        <v>4230642</v>
      </c>
      <c r="Y87" s="7">
        <v>2872203</v>
      </c>
      <c r="Z87" s="7">
        <v>3292900</v>
      </c>
      <c r="AA87" s="7">
        <v>190629</v>
      </c>
    </row>
    <row r="88" spans="1:27" x14ac:dyDescent="0.25">
      <c r="A88" s="5">
        <v>42339</v>
      </c>
      <c r="B88" s="7">
        <v>21163817</v>
      </c>
      <c r="C88" s="7">
        <v>785270</v>
      </c>
      <c r="D88" s="7">
        <v>614354</v>
      </c>
      <c r="E88" s="7">
        <v>4471173</v>
      </c>
      <c r="F88" s="7">
        <v>842779</v>
      </c>
      <c r="G88" s="7">
        <v>73633</v>
      </c>
      <c r="H88" s="7">
        <v>98108</v>
      </c>
      <c r="I88" s="7">
        <v>239716</v>
      </c>
      <c r="J88" s="7">
        <v>257152</v>
      </c>
      <c r="K88" s="7">
        <v>290243</v>
      </c>
      <c r="L88" s="7">
        <v>666789</v>
      </c>
      <c r="M88" s="7">
        <v>489991</v>
      </c>
      <c r="N88" s="7">
        <v>10269</v>
      </c>
      <c r="O88" s="7">
        <v>1046734</v>
      </c>
      <c r="P88" s="7">
        <v>230208</v>
      </c>
      <c r="Q88" s="7">
        <v>1068597</v>
      </c>
      <c r="R88" s="7">
        <v>1402686</v>
      </c>
      <c r="S88" s="7">
        <v>1343464</v>
      </c>
      <c r="T88" s="7">
        <v>1648891</v>
      </c>
      <c r="U88" s="7">
        <v>1341512</v>
      </c>
      <c r="V88" s="7">
        <v>1180318</v>
      </c>
      <c r="W88" s="7">
        <v>115003</v>
      </c>
      <c r="X88" s="7">
        <v>4222918</v>
      </c>
      <c r="Y88" s="7">
        <v>2917687</v>
      </c>
      <c r="Z88" s="7">
        <v>3275404</v>
      </c>
      <c r="AA88" s="7">
        <v>190873</v>
      </c>
    </row>
    <row r="89" spans="1:27" x14ac:dyDescent="0.25">
      <c r="A89" s="5">
        <v>42370</v>
      </c>
      <c r="B89" s="7">
        <v>20888976</v>
      </c>
      <c r="C89" s="7">
        <v>807948</v>
      </c>
      <c r="D89" s="7">
        <v>627527</v>
      </c>
      <c r="E89" s="7">
        <v>4563357</v>
      </c>
      <c r="F89" s="7">
        <v>849848</v>
      </c>
      <c r="G89" s="7">
        <v>75611</v>
      </c>
      <c r="H89" s="7">
        <v>107801</v>
      </c>
      <c r="I89" s="7">
        <v>306638</v>
      </c>
      <c r="J89" s="7">
        <v>271303</v>
      </c>
      <c r="K89" s="7">
        <v>288063</v>
      </c>
      <c r="L89" s="7">
        <v>682161</v>
      </c>
      <c r="M89" s="7">
        <v>482434</v>
      </c>
      <c r="N89" s="7">
        <v>8010</v>
      </c>
      <c r="O89" s="7">
        <v>1042507</v>
      </c>
      <c r="P89" s="7">
        <v>230784</v>
      </c>
      <c r="Q89" s="7">
        <v>1032301</v>
      </c>
      <c r="R89" s="7">
        <v>1413831</v>
      </c>
      <c r="S89" s="7">
        <v>1350264</v>
      </c>
      <c r="T89" s="7">
        <v>1592347</v>
      </c>
      <c r="U89" s="7">
        <v>1317738</v>
      </c>
      <c r="V89" s="7">
        <v>1211882</v>
      </c>
      <c r="W89" s="7">
        <v>152183</v>
      </c>
      <c r="X89" s="7">
        <v>3698966</v>
      </c>
      <c r="Y89" s="7">
        <v>2948347</v>
      </c>
      <c r="Z89" s="7">
        <v>3467412</v>
      </c>
      <c r="AA89" s="7">
        <v>152586</v>
      </c>
    </row>
    <row r="90" spans="1:27" x14ac:dyDescent="0.25">
      <c r="A90" s="5">
        <v>42401</v>
      </c>
      <c r="B90" s="7">
        <v>21117561</v>
      </c>
      <c r="C90" s="7">
        <v>982477</v>
      </c>
      <c r="D90" s="7">
        <v>799274</v>
      </c>
      <c r="E90" s="7">
        <v>4677244</v>
      </c>
      <c r="F90" s="7">
        <v>871053</v>
      </c>
      <c r="G90" s="7">
        <v>75783</v>
      </c>
      <c r="H90" s="7">
        <v>107261</v>
      </c>
      <c r="I90" s="7">
        <v>321930</v>
      </c>
      <c r="J90" s="7">
        <v>277791</v>
      </c>
      <c r="K90" s="7">
        <v>288784</v>
      </c>
      <c r="L90" s="7">
        <v>727395</v>
      </c>
      <c r="M90" s="7">
        <v>483302</v>
      </c>
      <c r="N90" s="7">
        <v>8841</v>
      </c>
      <c r="O90" s="7">
        <v>1066267</v>
      </c>
      <c r="P90" s="7">
        <v>243033</v>
      </c>
      <c r="Q90" s="7">
        <v>1019402</v>
      </c>
      <c r="R90" s="7">
        <v>1397898</v>
      </c>
      <c r="S90" s="7">
        <v>1334234</v>
      </c>
      <c r="T90" s="7">
        <v>1573473</v>
      </c>
      <c r="U90" s="7">
        <v>1311472</v>
      </c>
      <c r="V90" s="7">
        <v>1218711</v>
      </c>
      <c r="W90" s="7">
        <v>158300</v>
      </c>
      <c r="X90" s="7">
        <v>3700916</v>
      </c>
      <c r="Y90" s="7">
        <v>2931486</v>
      </c>
      <c r="Z90" s="7">
        <v>3439440</v>
      </c>
      <c r="AA90" s="7">
        <v>176513</v>
      </c>
    </row>
    <row r="91" spans="1:27" x14ac:dyDescent="0.25">
      <c r="A91" s="5">
        <v>42430</v>
      </c>
      <c r="B91" s="7">
        <v>21155577</v>
      </c>
      <c r="C91" s="7">
        <v>1092433</v>
      </c>
      <c r="D91" s="7">
        <v>826500</v>
      </c>
      <c r="E91" s="7">
        <v>4651464</v>
      </c>
      <c r="F91" s="7">
        <v>881854</v>
      </c>
      <c r="G91" s="7">
        <v>76452</v>
      </c>
      <c r="H91" s="7">
        <v>109251</v>
      </c>
      <c r="I91" s="7">
        <v>320460</v>
      </c>
      <c r="J91" s="7">
        <v>278327</v>
      </c>
      <c r="K91" s="7">
        <v>287884</v>
      </c>
      <c r="L91" s="7">
        <v>746876</v>
      </c>
      <c r="M91" s="7">
        <v>477715</v>
      </c>
      <c r="N91" s="7">
        <v>10208</v>
      </c>
      <c r="O91" s="7">
        <v>1007163</v>
      </c>
      <c r="P91" s="7">
        <v>238663</v>
      </c>
      <c r="Q91" s="7">
        <v>1029026</v>
      </c>
      <c r="R91" s="7">
        <v>1405613</v>
      </c>
      <c r="S91" s="7">
        <v>1342732</v>
      </c>
      <c r="T91" s="7">
        <v>1572936</v>
      </c>
      <c r="U91" s="7">
        <v>1316767</v>
      </c>
      <c r="V91" s="7">
        <v>1234876</v>
      </c>
      <c r="W91" s="7">
        <v>158949</v>
      </c>
      <c r="X91" s="7">
        <v>3627409</v>
      </c>
      <c r="Y91" s="7">
        <v>2931867</v>
      </c>
      <c r="Z91" s="7">
        <v>3441232</v>
      </c>
      <c r="AA91" s="7">
        <v>168720</v>
      </c>
    </row>
    <row r="92" spans="1:27" x14ac:dyDescent="0.25">
      <c r="A92" s="5">
        <v>42461</v>
      </c>
      <c r="B92" s="7">
        <v>21239123</v>
      </c>
      <c r="C92" s="7">
        <v>1041353</v>
      </c>
      <c r="D92" s="7">
        <v>841024</v>
      </c>
      <c r="E92" s="7">
        <v>4626713</v>
      </c>
      <c r="F92" s="7">
        <v>872611</v>
      </c>
      <c r="G92" s="7">
        <v>75358</v>
      </c>
      <c r="H92" s="7">
        <v>116816</v>
      </c>
      <c r="I92" s="7">
        <v>315052</v>
      </c>
      <c r="J92" s="7">
        <v>279681</v>
      </c>
      <c r="K92" s="7">
        <v>287950</v>
      </c>
      <c r="L92" s="7">
        <v>741522</v>
      </c>
      <c r="M92" s="7">
        <v>478462</v>
      </c>
      <c r="N92" s="7">
        <v>11931</v>
      </c>
      <c r="O92" s="7">
        <v>994618</v>
      </c>
      <c r="P92" s="7">
        <v>242361</v>
      </c>
      <c r="Q92" s="7">
        <v>1021831</v>
      </c>
      <c r="R92" s="7">
        <v>1415827</v>
      </c>
      <c r="S92" s="7">
        <v>1352618</v>
      </c>
      <c r="T92" s="7">
        <v>1588541</v>
      </c>
      <c r="U92" s="7">
        <v>1335514</v>
      </c>
      <c r="V92" s="7">
        <v>1274426</v>
      </c>
      <c r="W92" s="7">
        <v>167484</v>
      </c>
      <c r="X92" s="7">
        <v>3615838</v>
      </c>
      <c r="Y92" s="7">
        <v>2982019</v>
      </c>
      <c r="Z92" s="7">
        <v>3493173</v>
      </c>
      <c r="AA92" s="7">
        <v>179401</v>
      </c>
    </row>
    <row r="93" spans="1:27" x14ac:dyDescent="0.25">
      <c r="A93" s="5">
        <v>42491</v>
      </c>
      <c r="B93" s="7">
        <v>21383593</v>
      </c>
      <c r="C93" s="7">
        <v>1052376</v>
      </c>
      <c r="D93" s="7">
        <v>854757</v>
      </c>
      <c r="E93" s="7">
        <v>4622396</v>
      </c>
      <c r="F93" s="7">
        <v>852171</v>
      </c>
      <c r="G93" s="7">
        <v>75869</v>
      </c>
      <c r="H93" s="7">
        <v>117934</v>
      </c>
      <c r="I93" s="7">
        <v>330240</v>
      </c>
      <c r="J93" s="7">
        <v>282523</v>
      </c>
      <c r="K93" s="7">
        <v>287273</v>
      </c>
      <c r="L93" s="7">
        <v>737373</v>
      </c>
      <c r="M93" s="7">
        <v>483732</v>
      </c>
      <c r="N93" s="7">
        <v>12589</v>
      </c>
      <c r="O93" s="7">
        <v>987109</v>
      </c>
      <c r="P93" s="7">
        <v>242785</v>
      </c>
      <c r="Q93" s="7">
        <v>1037162</v>
      </c>
      <c r="R93" s="7">
        <v>1434819</v>
      </c>
      <c r="S93" s="7">
        <v>1371231</v>
      </c>
      <c r="T93" s="7">
        <v>1610056</v>
      </c>
      <c r="U93" s="7">
        <v>1353058</v>
      </c>
      <c r="V93" s="7">
        <v>1265123</v>
      </c>
      <c r="W93" s="7">
        <v>173025</v>
      </c>
      <c r="X93" s="7">
        <v>3602614</v>
      </c>
      <c r="Y93" s="7">
        <v>3000020</v>
      </c>
      <c r="Z93" s="7">
        <v>3568189</v>
      </c>
      <c r="AA93" s="7">
        <v>190838</v>
      </c>
    </row>
    <row r="94" spans="1:27" x14ac:dyDescent="0.25">
      <c r="A94" s="5">
        <v>42522</v>
      </c>
      <c r="B94" s="7">
        <v>21352937</v>
      </c>
      <c r="C94" s="7">
        <v>1040147</v>
      </c>
      <c r="D94" s="7">
        <v>845642</v>
      </c>
      <c r="E94" s="7">
        <v>4610643</v>
      </c>
      <c r="F94" s="7">
        <v>822794</v>
      </c>
      <c r="G94" s="7">
        <v>76710</v>
      </c>
      <c r="H94" s="7">
        <v>116845</v>
      </c>
      <c r="I94" s="7">
        <v>322773</v>
      </c>
      <c r="J94" s="7">
        <v>289927</v>
      </c>
      <c r="K94" s="7">
        <v>286372</v>
      </c>
      <c r="L94" s="7">
        <v>733162</v>
      </c>
      <c r="M94" s="7">
        <v>485909</v>
      </c>
      <c r="N94" s="7">
        <v>11542</v>
      </c>
      <c r="O94" s="7">
        <v>1003170</v>
      </c>
      <c r="P94" s="7">
        <v>249261</v>
      </c>
      <c r="Q94" s="7">
        <v>1052666</v>
      </c>
      <c r="R94" s="7">
        <v>1439962</v>
      </c>
      <c r="S94" s="7">
        <v>1379276</v>
      </c>
      <c r="T94" s="7">
        <v>1620514</v>
      </c>
      <c r="U94" s="7">
        <v>1299824</v>
      </c>
      <c r="V94" s="7">
        <v>1263390</v>
      </c>
      <c r="W94" s="7">
        <v>171740</v>
      </c>
      <c r="X94" s="7">
        <v>3555603</v>
      </c>
      <c r="Y94" s="7">
        <v>2989199</v>
      </c>
      <c r="Z94" s="7">
        <v>3600863</v>
      </c>
      <c r="AA94" s="7">
        <v>179950</v>
      </c>
    </row>
    <row r="95" spans="1:27" x14ac:dyDescent="0.25">
      <c r="A95" s="5">
        <v>42552</v>
      </c>
      <c r="B95" s="7">
        <v>21479952</v>
      </c>
      <c r="C95" s="7">
        <v>1047900</v>
      </c>
      <c r="D95" s="7">
        <v>852884</v>
      </c>
      <c r="E95" s="7">
        <v>4606581</v>
      </c>
      <c r="F95" s="7">
        <v>805826</v>
      </c>
      <c r="G95" s="7">
        <v>76152</v>
      </c>
      <c r="H95" s="7">
        <v>118597</v>
      </c>
      <c r="I95" s="7">
        <v>312889</v>
      </c>
      <c r="J95" s="7">
        <v>286609</v>
      </c>
      <c r="K95" s="7">
        <v>284174</v>
      </c>
      <c r="L95" s="7">
        <v>708711</v>
      </c>
      <c r="M95" s="7">
        <v>493934</v>
      </c>
      <c r="N95" s="7">
        <v>8970</v>
      </c>
      <c r="O95" s="7">
        <v>1020397</v>
      </c>
      <c r="P95" s="7">
        <v>244489</v>
      </c>
      <c r="Q95" s="7">
        <v>1117071</v>
      </c>
      <c r="R95" s="7">
        <v>1449515</v>
      </c>
      <c r="S95" s="7">
        <v>1389924</v>
      </c>
      <c r="T95" s="7">
        <v>1655742</v>
      </c>
      <c r="U95" s="7">
        <v>1355194</v>
      </c>
      <c r="V95" s="7">
        <v>1240213</v>
      </c>
      <c r="W95" s="7">
        <v>164600</v>
      </c>
      <c r="X95" s="7">
        <v>3529174</v>
      </c>
      <c r="Y95" s="7">
        <v>3018132</v>
      </c>
      <c r="Z95" s="7">
        <v>3640759</v>
      </c>
      <c r="AA95" s="7">
        <v>174864</v>
      </c>
    </row>
    <row r="96" spans="1:27" x14ac:dyDescent="0.25">
      <c r="A96" s="5">
        <v>42583</v>
      </c>
      <c r="B96" s="7">
        <v>21568040</v>
      </c>
      <c r="C96" s="7">
        <v>1047654</v>
      </c>
      <c r="D96" s="7">
        <v>856726</v>
      </c>
      <c r="E96" s="7">
        <v>4596169</v>
      </c>
      <c r="F96" s="7">
        <v>792605</v>
      </c>
      <c r="G96" s="7">
        <v>75690</v>
      </c>
      <c r="H96" s="7">
        <v>117186</v>
      </c>
      <c r="I96" s="7">
        <v>312665</v>
      </c>
      <c r="J96" s="7">
        <v>286142</v>
      </c>
      <c r="K96" s="7">
        <v>280986</v>
      </c>
      <c r="L96" s="7">
        <v>702088</v>
      </c>
      <c r="M96" s="7">
        <v>496324</v>
      </c>
      <c r="N96" s="7">
        <v>7630</v>
      </c>
      <c r="O96" s="7">
        <v>1028649</v>
      </c>
      <c r="P96" s="7">
        <v>243911</v>
      </c>
      <c r="Q96" s="7">
        <v>1123976</v>
      </c>
      <c r="R96" s="7">
        <v>1472152</v>
      </c>
      <c r="S96" s="7">
        <v>1411913</v>
      </c>
      <c r="T96" s="7">
        <v>1659038</v>
      </c>
      <c r="U96" s="7">
        <v>1358834</v>
      </c>
      <c r="V96" s="7">
        <v>1257350</v>
      </c>
      <c r="W96" s="7">
        <v>159040</v>
      </c>
      <c r="X96" s="7">
        <v>3526666</v>
      </c>
      <c r="Y96" s="7">
        <v>3017458</v>
      </c>
      <c r="Z96" s="7">
        <v>3683867</v>
      </c>
      <c r="AA96" s="7">
        <v>183710</v>
      </c>
    </row>
    <row r="97" spans="1:27" x14ac:dyDescent="0.25">
      <c r="A97" s="5">
        <v>42614</v>
      </c>
      <c r="B97" s="7">
        <v>21447120</v>
      </c>
      <c r="C97" s="7">
        <v>1035782</v>
      </c>
      <c r="D97" s="7">
        <v>840406</v>
      </c>
      <c r="E97" s="7">
        <v>4617315</v>
      </c>
      <c r="F97" s="7">
        <v>781607</v>
      </c>
      <c r="G97" s="7">
        <v>76170</v>
      </c>
      <c r="H97" s="7">
        <v>116609</v>
      </c>
      <c r="I97" s="7">
        <v>306438</v>
      </c>
      <c r="J97" s="7">
        <v>288833</v>
      </c>
      <c r="K97" s="7">
        <v>249621</v>
      </c>
      <c r="L97" s="7">
        <v>709230</v>
      </c>
      <c r="M97" s="7">
        <v>497017</v>
      </c>
      <c r="N97" s="7">
        <v>7568</v>
      </c>
      <c r="O97" s="7">
        <v>1067514</v>
      </c>
      <c r="P97" s="7">
        <v>253161</v>
      </c>
      <c r="Q97" s="7">
        <v>1181926</v>
      </c>
      <c r="R97" s="7">
        <v>1485550</v>
      </c>
      <c r="S97" s="7">
        <v>1425866</v>
      </c>
      <c r="T97" s="7">
        <v>1617769</v>
      </c>
      <c r="U97" s="7">
        <v>1319013</v>
      </c>
      <c r="V97" s="7">
        <v>1256646</v>
      </c>
      <c r="W97" s="7">
        <v>155294</v>
      </c>
      <c r="X97" s="7">
        <v>3462012</v>
      </c>
      <c r="Y97" s="7">
        <v>2977932</v>
      </c>
      <c r="Z97" s="7">
        <v>3645709</v>
      </c>
      <c r="AA97" s="7">
        <v>166479</v>
      </c>
    </row>
    <row r="98" spans="1:27" x14ac:dyDescent="0.25">
      <c r="A98" s="5">
        <v>42644</v>
      </c>
      <c r="B98" s="7">
        <v>21450698</v>
      </c>
      <c r="C98" s="7">
        <v>1029240</v>
      </c>
      <c r="D98" s="7">
        <v>837803</v>
      </c>
      <c r="E98" s="7">
        <v>4642630</v>
      </c>
      <c r="F98" s="7">
        <v>795520</v>
      </c>
      <c r="G98" s="7">
        <v>87031</v>
      </c>
      <c r="H98" s="7">
        <v>117497</v>
      </c>
      <c r="I98" s="7">
        <v>300381</v>
      </c>
      <c r="J98" s="7">
        <v>284466</v>
      </c>
      <c r="K98" s="7">
        <v>246617</v>
      </c>
      <c r="L98" s="7">
        <v>707582</v>
      </c>
      <c r="M98" s="7">
        <v>489172</v>
      </c>
      <c r="N98" s="7">
        <v>7484</v>
      </c>
      <c r="O98" s="7">
        <v>1084987</v>
      </c>
      <c r="P98" s="7">
        <v>247995</v>
      </c>
      <c r="Q98" s="7">
        <v>1183122</v>
      </c>
      <c r="R98" s="7">
        <v>1490925</v>
      </c>
      <c r="S98" s="7">
        <v>1430925</v>
      </c>
      <c r="T98" s="7">
        <v>1595454</v>
      </c>
      <c r="U98" s="7">
        <v>1303942</v>
      </c>
      <c r="V98" s="7">
        <v>1240496</v>
      </c>
      <c r="W98" s="7">
        <v>152250</v>
      </c>
      <c r="X98" s="7">
        <v>3464492</v>
      </c>
      <c r="Y98" s="7">
        <v>2992266</v>
      </c>
      <c r="Z98" s="7">
        <v>3648610</v>
      </c>
      <c r="AA98" s="7">
        <v>163463</v>
      </c>
    </row>
    <row r="99" spans="1:27" x14ac:dyDescent="0.25">
      <c r="A99" s="5">
        <v>42675</v>
      </c>
      <c r="B99" s="7">
        <v>21563483</v>
      </c>
      <c r="C99" s="7">
        <v>1025503</v>
      </c>
      <c r="D99" s="7">
        <v>836814</v>
      </c>
      <c r="E99" s="7">
        <v>4696403</v>
      </c>
      <c r="F99" s="7">
        <v>784201</v>
      </c>
      <c r="G99" s="7">
        <v>88254</v>
      </c>
      <c r="H99" s="7">
        <v>114054</v>
      </c>
      <c r="I99" s="7">
        <v>307084</v>
      </c>
      <c r="J99" s="7">
        <v>285520</v>
      </c>
      <c r="K99" s="7">
        <v>255123</v>
      </c>
      <c r="L99" s="7">
        <v>710459</v>
      </c>
      <c r="M99" s="7">
        <v>506238</v>
      </c>
      <c r="N99" s="7">
        <v>7740</v>
      </c>
      <c r="O99" s="7">
        <v>1107788</v>
      </c>
      <c r="P99" s="7">
        <v>229513</v>
      </c>
      <c r="Q99" s="7">
        <v>1179636</v>
      </c>
      <c r="R99" s="7">
        <v>1487294</v>
      </c>
      <c r="S99" s="7">
        <v>1425593</v>
      </c>
      <c r="T99" s="7">
        <v>1584625</v>
      </c>
      <c r="U99" s="7">
        <v>1291396</v>
      </c>
      <c r="V99" s="7">
        <v>1237938</v>
      </c>
      <c r="W99" s="7">
        <v>148802</v>
      </c>
      <c r="X99" s="7">
        <v>3547428</v>
      </c>
      <c r="Y99" s="7">
        <v>2967864</v>
      </c>
      <c r="Z99" s="7">
        <v>3656280</v>
      </c>
      <c r="AA99" s="7">
        <v>180511</v>
      </c>
    </row>
    <row r="100" spans="1:27" x14ac:dyDescent="0.25">
      <c r="A100" s="5">
        <v>42705</v>
      </c>
      <c r="B100" s="7">
        <v>21739256</v>
      </c>
      <c r="C100" s="7">
        <v>1027757</v>
      </c>
      <c r="D100" s="7">
        <v>839983</v>
      </c>
      <c r="E100" s="7">
        <v>4715880</v>
      </c>
      <c r="F100" s="7">
        <v>781070</v>
      </c>
      <c r="G100" s="7">
        <v>88524</v>
      </c>
      <c r="H100" s="7">
        <v>111731</v>
      </c>
      <c r="I100" s="7">
        <v>284778</v>
      </c>
      <c r="J100" s="7">
        <v>284490</v>
      </c>
      <c r="K100" s="7">
        <v>257737</v>
      </c>
      <c r="L100" s="7">
        <v>710861</v>
      </c>
      <c r="M100" s="7">
        <v>511428</v>
      </c>
      <c r="N100" s="7">
        <v>8132</v>
      </c>
      <c r="O100" s="7">
        <v>1139687</v>
      </c>
      <c r="P100" s="7">
        <v>234612</v>
      </c>
      <c r="Q100" s="7">
        <v>1192831</v>
      </c>
      <c r="R100" s="7">
        <v>1504232</v>
      </c>
      <c r="S100" s="7">
        <v>1440583</v>
      </c>
      <c r="T100" s="7">
        <v>1605769</v>
      </c>
      <c r="U100" s="7">
        <v>1319545</v>
      </c>
      <c r="V100" s="7">
        <v>1260862</v>
      </c>
      <c r="W100" s="7">
        <v>149632</v>
      </c>
      <c r="X100" s="7">
        <v>3605772</v>
      </c>
      <c r="Y100" s="7">
        <v>2960329</v>
      </c>
      <c r="Z100" s="7">
        <v>3689647</v>
      </c>
      <c r="AA100" s="7">
        <v>176176</v>
      </c>
    </row>
    <row r="101" spans="1:27" x14ac:dyDescent="0.25">
      <c r="A101" s="5">
        <v>42736</v>
      </c>
      <c r="B101" s="7">
        <v>21731671</v>
      </c>
      <c r="C101" s="7">
        <v>1120948</v>
      </c>
      <c r="D101" s="7">
        <v>932484</v>
      </c>
      <c r="E101" s="7">
        <v>4220566</v>
      </c>
      <c r="F101" s="7">
        <v>781881</v>
      </c>
      <c r="G101" s="7">
        <v>90262</v>
      </c>
      <c r="H101" s="7">
        <v>114236</v>
      </c>
      <c r="I101" s="7">
        <v>285487</v>
      </c>
      <c r="J101" s="7">
        <v>289252</v>
      </c>
      <c r="K101" s="7">
        <v>264226</v>
      </c>
      <c r="L101" s="7">
        <v>742162</v>
      </c>
      <c r="M101" s="7">
        <v>407162</v>
      </c>
      <c r="N101" s="7">
        <v>7198</v>
      </c>
      <c r="O101" s="7">
        <v>773371</v>
      </c>
      <c r="P101" s="7">
        <v>214104</v>
      </c>
      <c r="Q101" s="7">
        <v>1212359</v>
      </c>
      <c r="R101" s="7">
        <v>1538796</v>
      </c>
      <c r="S101" s="7">
        <v>1475032</v>
      </c>
      <c r="T101" s="7">
        <v>1528914</v>
      </c>
      <c r="U101" s="7">
        <v>1262650</v>
      </c>
      <c r="V101" s="7">
        <v>1283191</v>
      </c>
      <c r="W101" s="7">
        <v>146862</v>
      </c>
      <c r="X101" s="7">
        <v>3573341</v>
      </c>
      <c r="Y101" s="7">
        <v>2711639</v>
      </c>
      <c r="Z101" s="7">
        <v>4382657</v>
      </c>
      <c r="AA101" s="7">
        <v>159260</v>
      </c>
    </row>
    <row r="102" spans="1:27" x14ac:dyDescent="0.25">
      <c r="A102" s="5">
        <v>42767</v>
      </c>
      <c r="B102" s="7">
        <v>21764888</v>
      </c>
      <c r="C102" s="7">
        <v>1112703</v>
      </c>
      <c r="D102" s="7">
        <v>911988</v>
      </c>
      <c r="E102" s="7">
        <v>4427219</v>
      </c>
      <c r="F102" s="7">
        <v>804365</v>
      </c>
      <c r="G102" s="7">
        <v>91169</v>
      </c>
      <c r="H102" s="7">
        <v>112702</v>
      </c>
      <c r="I102" s="7">
        <v>349325</v>
      </c>
      <c r="J102" s="7">
        <v>269498</v>
      </c>
      <c r="K102" s="7">
        <v>300042</v>
      </c>
      <c r="L102" s="7">
        <v>861518</v>
      </c>
      <c r="M102" s="7">
        <v>363422</v>
      </c>
      <c r="N102" s="7">
        <v>8531</v>
      </c>
      <c r="O102" s="7">
        <v>790218</v>
      </c>
      <c r="P102" s="7">
        <v>201928</v>
      </c>
      <c r="Q102" s="7">
        <v>1301299</v>
      </c>
      <c r="R102" s="7">
        <v>1558939</v>
      </c>
      <c r="S102" s="7">
        <v>1499214</v>
      </c>
      <c r="T102" s="7">
        <v>1474552</v>
      </c>
      <c r="U102" s="7">
        <v>1262958</v>
      </c>
      <c r="V102" s="7">
        <v>1268926</v>
      </c>
      <c r="W102" s="7">
        <v>150552</v>
      </c>
      <c r="X102" s="7">
        <v>3457186</v>
      </c>
      <c r="Y102" s="7">
        <v>3364432</v>
      </c>
      <c r="Z102" s="7">
        <v>3610726</v>
      </c>
      <c r="AA102" s="7">
        <v>188905</v>
      </c>
    </row>
    <row r="103" spans="1:27" x14ac:dyDescent="0.25">
      <c r="A103" s="5">
        <v>42795</v>
      </c>
      <c r="B103" s="7">
        <v>21768766</v>
      </c>
      <c r="C103" s="7">
        <v>1119395</v>
      </c>
      <c r="D103" s="7">
        <v>916809</v>
      </c>
      <c r="E103" s="7">
        <v>4445471</v>
      </c>
      <c r="F103" s="7">
        <v>803502</v>
      </c>
      <c r="G103" s="7">
        <v>90501</v>
      </c>
      <c r="H103" s="7">
        <v>97793</v>
      </c>
      <c r="I103" s="7">
        <v>395538</v>
      </c>
      <c r="J103" s="7">
        <v>287756</v>
      </c>
      <c r="K103" s="7">
        <v>267964</v>
      </c>
      <c r="L103" s="7">
        <v>876472</v>
      </c>
      <c r="M103" s="7">
        <v>353969</v>
      </c>
      <c r="N103" s="7">
        <v>8867</v>
      </c>
      <c r="O103" s="7">
        <v>784722</v>
      </c>
      <c r="P103" s="7">
        <v>199747</v>
      </c>
      <c r="Q103" s="7">
        <v>1308813</v>
      </c>
      <c r="R103" s="7">
        <v>1559368</v>
      </c>
      <c r="S103" s="7">
        <v>1500390</v>
      </c>
      <c r="T103" s="7">
        <v>1476086</v>
      </c>
      <c r="U103" s="7">
        <v>1247790</v>
      </c>
      <c r="V103" s="7">
        <v>1310271</v>
      </c>
      <c r="W103" s="7">
        <v>149038</v>
      </c>
      <c r="X103" s="7">
        <v>3368353</v>
      </c>
      <c r="Y103" s="7">
        <v>3429538</v>
      </c>
      <c r="Z103" s="7">
        <v>3552003</v>
      </c>
      <c r="AA103" s="7">
        <v>199468</v>
      </c>
    </row>
    <row r="104" spans="1:27" x14ac:dyDescent="0.25">
      <c r="A104" s="5">
        <v>42826</v>
      </c>
      <c r="B104" s="7">
        <v>21978941</v>
      </c>
      <c r="C104" s="7">
        <v>1214302</v>
      </c>
      <c r="D104" s="7">
        <v>1009466</v>
      </c>
      <c r="E104" s="7">
        <v>4407493</v>
      </c>
      <c r="F104" s="7">
        <v>798807</v>
      </c>
      <c r="G104" s="7">
        <v>90918</v>
      </c>
      <c r="H104" s="7">
        <v>96855</v>
      </c>
      <c r="I104" s="7">
        <v>388594</v>
      </c>
      <c r="J104" s="7">
        <v>302569</v>
      </c>
      <c r="K104" s="7">
        <v>269250</v>
      </c>
      <c r="L104" s="7">
        <v>847222</v>
      </c>
      <c r="M104" s="7">
        <v>335723</v>
      </c>
      <c r="N104" s="7">
        <v>8238</v>
      </c>
      <c r="O104" s="7">
        <v>796943</v>
      </c>
      <c r="P104" s="7">
        <v>196477</v>
      </c>
      <c r="Q104" s="7">
        <v>1222355</v>
      </c>
      <c r="R104" s="7">
        <v>1583349</v>
      </c>
      <c r="S104" s="7">
        <v>1522329</v>
      </c>
      <c r="T104" s="7">
        <v>1557567</v>
      </c>
      <c r="U104" s="7">
        <v>1308564</v>
      </c>
      <c r="V104" s="7">
        <v>1378203</v>
      </c>
      <c r="W104" s="7">
        <v>146457</v>
      </c>
      <c r="X104" s="7">
        <v>3413687</v>
      </c>
      <c r="Y104" s="7">
        <v>3407718</v>
      </c>
      <c r="Z104" s="7">
        <v>3598064</v>
      </c>
      <c r="AA104" s="7">
        <v>196203</v>
      </c>
    </row>
    <row r="105" spans="1:27" x14ac:dyDescent="0.25">
      <c r="A105" s="5">
        <v>42856</v>
      </c>
      <c r="B105" s="7">
        <v>22097108</v>
      </c>
      <c r="C105" s="7">
        <v>1243537</v>
      </c>
      <c r="D105" s="7">
        <v>1034946</v>
      </c>
      <c r="E105" s="7">
        <v>4475393</v>
      </c>
      <c r="F105" s="7">
        <v>799359</v>
      </c>
      <c r="G105" s="7">
        <v>91095</v>
      </c>
      <c r="H105" s="7">
        <v>99504</v>
      </c>
      <c r="I105" s="7">
        <v>393271</v>
      </c>
      <c r="J105" s="7">
        <v>319393</v>
      </c>
      <c r="K105" s="7">
        <v>274471</v>
      </c>
      <c r="L105" s="7">
        <v>844313</v>
      </c>
      <c r="M105" s="7">
        <v>333665</v>
      </c>
      <c r="N105" s="7">
        <v>10197</v>
      </c>
      <c r="O105" s="7">
        <v>831494</v>
      </c>
      <c r="P105" s="7">
        <v>195970</v>
      </c>
      <c r="Q105" s="7">
        <v>1201810</v>
      </c>
      <c r="R105" s="7">
        <v>1614033</v>
      </c>
      <c r="S105" s="7">
        <v>1552575</v>
      </c>
      <c r="T105" s="7">
        <v>1550407</v>
      </c>
      <c r="U105" s="7">
        <v>1290448</v>
      </c>
      <c r="V105" s="7">
        <v>1388301</v>
      </c>
      <c r="W105" s="7">
        <v>146437</v>
      </c>
      <c r="X105" s="7">
        <v>3440760</v>
      </c>
      <c r="Y105" s="7">
        <v>3371379</v>
      </c>
      <c r="Z105" s="7">
        <v>3597914</v>
      </c>
      <c r="AA105" s="7">
        <v>213574</v>
      </c>
    </row>
    <row r="106" spans="1:27" x14ac:dyDescent="0.25">
      <c r="A106" s="5">
        <v>42887</v>
      </c>
      <c r="B106" s="7">
        <v>22136992</v>
      </c>
      <c r="C106" s="7">
        <v>1268064</v>
      </c>
      <c r="D106" s="7">
        <v>1063122</v>
      </c>
      <c r="E106" s="7">
        <v>4516254</v>
      </c>
      <c r="F106" s="7">
        <v>798273</v>
      </c>
      <c r="G106" s="7">
        <v>98187</v>
      </c>
      <c r="H106" s="7">
        <v>101147</v>
      </c>
      <c r="I106" s="7">
        <v>391849</v>
      </c>
      <c r="J106" s="7">
        <v>314133</v>
      </c>
      <c r="K106" s="7">
        <v>312570</v>
      </c>
      <c r="L106" s="7">
        <v>843758</v>
      </c>
      <c r="M106" s="7">
        <v>333704</v>
      </c>
      <c r="N106" s="7">
        <v>10615</v>
      </c>
      <c r="O106" s="7">
        <v>843715</v>
      </c>
      <c r="P106" s="7">
        <v>196353</v>
      </c>
      <c r="Q106" s="7">
        <v>1179630</v>
      </c>
      <c r="R106" s="7">
        <v>1631443</v>
      </c>
      <c r="S106" s="7">
        <v>1570921</v>
      </c>
      <c r="T106" s="7">
        <v>1580061</v>
      </c>
      <c r="U106" s="7">
        <v>1315048</v>
      </c>
      <c r="V106" s="7">
        <v>1339952</v>
      </c>
      <c r="W106" s="7">
        <v>146028</v>
      </c>
      <c r="X106" s="7">
        <v>3400476</v>
      </c>
      <c r="Y106" s="7">
        <v>3371372</v>
      </c>
      <c r="Z106" s="7">
        <v>3656470</v>
      </c>
      <c r="AA106" s="7">
        <v>193271</v>
      </c>
    </row>
    <row r="107" spans="1:27" x14ac:dyDescent="0.25">
      <c r="A107" s="5">
        <v>42917</v>
      </c>
      <c r="B107" s="7">
        <v>22267477</v>
      </c>
      <c r="C107" s="7">
        <v>1354336</v>
      </c>
      <c r="D107" s="7">
        <v>1151499</v>
      </c>
      <c r="E107" s="7">
        <v>4412369</v>
      </c>
      <c r="F107" s="7">
        <v>758454</v>
      </c>
      <c r="G107" s="7">
        <v>89796</v>
      </c>
      <c r="H107" s="7">
        <v>100581</v>
      </c>
      <c r="I107" s="7">
        <v>369392</v>
      </c>
      <c r="J107" s="7">
        <v>344825</v>
      </c>
      <c r="K107" s="7">
        <v>316697</v>
      </c>
      <c r="L107" s="7">
        <v>771949</v>
      </c>
      <c r="M107" s="7">
        <v>322521</v>
      </c>
      <c r="N107" s="7">
        <v>9979</v>
      </c>
      <c r="O107" s="7">
        <v>855329</v>
      </c>
      <c r="P107" s="7">
        <v>190731</v>
      </c>
      <c r="Q107" s="7">
        <v>1194122</v>
      </c>
      <c r="R107" s="7">
        <v>1642660</v>
      </c>
      <c r="S107" s="7">
        <v>1583113</v>
      </c>
      <c r="T107" s="7">
        <v>1625445</v>
      </c>
      <c r="U107" s="7">
        <v>1371195</v>
      </c>
      <c r="V107" s="7">
        <v>1328125</v>
      </c>
      <c r="W107" s="7">
        <v>142119</v>
      </c>
      <c r="X107" s="7">
        <v>3392798</v>
      </c>
      <c r="Y107" s="7">
        <v>3423700</v>
      </c>
      <c r="Z107" s="7">
        <v>3701562</v>
      </c>
      <c r="AA107" s="7">
        <v>192361</v>
      </c>
    </row>
    <row r="108" spans="1:27" x14ac:dyDescent="0.25">
      <c r="A108" s="5">
        <v>42948</v>
      </c>
      <c r="B108" s="7">
        <v>22296880</v>
      </c>
      <c r="C108" s="7">
        <v>1361350</v>
      </c>
      <c r="D108" s="7">
        <v>1164149</v>
      </c>
      <c r="E108" s="7">
        <v>4518282</v>
      </c>
      <c r="F108" s="7">
        <v>778251</v>
      </c>
      <c r="G108" s="7">
        <v>87010</v>
      </c>
      <c r="H108" s="7">
        <v>102441</v>
      </c>
      <c r="I108" s="7">
        <v>378549</v>
      </c>
      <c r="J108" s="7">
        <v>350115</v>
      </c>
      <c r="K108" s="7">
        <v>313106</v>
      </c>
      <c r="L108" s="7">
        <v>764061</v>
      </c>
      <c r="M108" s="7">
        <v>317670</v>
      </c>
      <c r="N108" s="7">
        <v>7863</v>
      </c>
      <c r="O108" s="7">
        <v>954960</v>
      </c>
      <c r="P108" s="7">
        <v>200401</v>
      </c>
      <c r="Q108" s="7">
        <v>1205522</v>
      </c>
      <c r="R108" s="7">
        <v>1650780</v>
      </c>
      <c r="S108" s="7">
        <v>1590969</v>
      </c>
      <c r="T108" s="7">
        <v>1574325</v>
      </c>
      <c r="U108" s="7">
        <v>1333465</v>
      </c>
      <c r="V108" s="7">
        <v>1372669</v>
      </c>
      <c r="W108" s="7">
        <v>131583</v>
      </c>
      <c r="X108" s="7">
        <v>3412507</v>
      </c>
      <c r="Y108" s="7">
        <v>3326583</v>
      </c>
      <c r="Z108" s="7">
        <v>3674527</v>
      </c>
      <c r="AA108" s="7">
        <v>200337</v>
      </c>
    </row>
    <row r="109" spans="1:27" x14ac:dyDescent="0.25">
      <c r="A109" s="5">
        <v>42979</v>
      </c>
      <c r="B109" s="7">
        <v>22432559</v>
      </c>
      <c r="C109" s="7">
        <v>1374851</v>
      </c>
      <c r="D109" s="7">
        <v>1176891</v>
      </c>
      <c r="E109" s="7">
        <v>4578527</v>
      </c>
      <c r="F109" s="7">
        <v>773396</v>
      </c>
      <c r="G109" s="7">
        <v>85627</v>
      </c>
      <c r="H109" s="7">
        <v>116990</v>
      </c>
      <c r="I109" s="7">
        <v>378213</v>
      </c>
      <c r="J109" s="7">
        <v>340786</v>
      </c>
      <c r="K109" s="7">
        <v>309811</v>
      </c>
      <c r="L109" s="7">
        <v>779209</v>
      </c>
      <c r="M109" s="7">
        <v>326203</v>
      </c>
      <c r="N109" s="7">
        <v>7470</v>
      </c>
      <c r="O109" s="7">
        <v>988148</v>
      </c>
      <c r="P109" s="7">
        <v>209223</v>
      </c>
      <c r="Q109" s="7">
        <v>1221741</v>
      </c>
      <c r="R109" s="7">
        <v>1651547</v>
      </c>
      <c r="S109" s="7">
        <v>1591068</v>
      </c>
      <c r="T109" s="7">
        <v>1565282</v>
      </c>
      <c r="U109" s="7">
        <v>1313712</v>
      </c>
      <c r="V109" s="7">
        <v>1376096</v>
      </c>
      <c r="W109" s="7">
        <v>151113</v>
      </c>
      <c r="X109" s="7">
        <v>3368075</v>
      </c>
      <c r="Y109" s="7">
        <v>3360714</v>
      </c>
      <c r="Z109" s="7">
        <v>3737033</v>
      </c>
      <c r="AA109" s="7">
        <v>198694</v>
      </c>
    </row>
    <row r="110" spans="1:27" x14ac:dyDescent="0.25">
      <c r="A110" s="5">
        <v>43009</v>
      </c>
      <c r="B110" s="7">
        <v>22633318</v>
      </c>
      <c r="C110" s="7">
        <v>1406966</v>
      </c>
      <c r="D110" s="7">
        <v>1211067</v>
      </c>
      <c r="E110" s="7">
        <v>4639460</v>
      </c>
      <c r="F110" s="7">
        <v>788293</v>
      </c>
      <c r="G110" s="7">
        <v>104237</v>
      </c>
      <c r="H110" s="7">
        <v>114546</v>
      </c>
      <c r="I110" s="7">
        <v>378123</v>
      </c>
      <c r="J110" s="7">
        <v>337407</v>
      </c>
      <c r="K110" s="7">
        <v>310585</v>
      </c>
      <c r="L110" s="7">
        <v>795176</v>
      </c>
      <c r="M110" s="7">
        <v>324583</v>
      </c>
      <c r="N110" s="7">
        <v>7907</v>
      </c>
      <c r="O110" s="7">
        <v>999858</v>
      </c>
      <c r="P110" s="7">
        <v>200782</v>
      </c>
      <c r="Q110" s="7">
        <v>1206635</v>
      </c>
      <c r="R110" s="7">
        <v>1645857</v>
      </c>
      <c r="S110" s="7">
        <v>1603000</v>
      </c>
      <c r="T110" s="7">
        <v>1553971</v>
      </c>
      <c r="U110" s="7">
        <v>1295951</v>
      </c>
      <c r="V110" s="7">
        <v>1379980</v>
      </c>
      <c r="W110" s="7">
        <v>141391</v>
      </c>
      <c r="X110" s="7">
        <v>3445176</v>
      </c>
      <c r="Y110" s="7">
        <v>3372593</v>
      </c>
      <c r="Z110" s="7">
        <v>3768894</v>
      </c>
      <c r="AA110" s="7">
        <v>213784</v>
      </c>
    </row>
    <row r="111" spans="1:27" x14ac:dyDescent="0.25">
      <c r="A111" s="5">
        <v>43040</v>
      </c>
      <c r="B111" s="7">
        <v>22656227</v>
      </c>
      <c r="C111" s="7">
        <v>1364689</v>
      </c>
      <c r="D111" s="7">
        <v>1168649</v>
      </c>
      <c r="E111" s="7">
        <v>4661428</v>
      </c>
      <c r="F111" s="7">
        <v>813191</v>
      </c>
      <c r="G111" s="7">
        <v>104170</v>
      </c>
      <c r="H111" s="7">
        <v>115757</v>
      </c>
      <c r="I111" s="7">
        <v>381511</v>
      </c>
      <c r="J111" s="7">
        <v>339369</v>
      </c>
      <c r="K111" s="7">
        <v>310918</v>
      </c>
      <c r="L111" s="7">
        <v>772080</v>
      </c>
      <c r="M111" s="7">
        <v>326577</v>
      </c>
      <c r="N111" s="7">
        <v>8143</v>
      </c>
      <c r="O111" s="7">
        <v>1011126</v>
      </c>
      <c r="P111" s="7">
        <v>202289</v>
      </c>
      <c r="Q111" s="7">
        <v>1224826</v>
      </c>
      <c r="R111" s="7">
        <v>1651480</v>
      </c>
      <c r="S111" s="7">
        <v>1608707</v>
      </c>
      <c r="T111" s="7">
        <v>1457361</v>
      </c>
      <c r="U111" s="7">
        <v>1212469</v>
      </c>
      <c r="V111" s="7">
        <v>1361450</v>
      </c>
      <c r="W111" s="7">
        <v>140284</v>
      </c>
      <c r="X111" s="7">
        <v>3430953</v>
      </c>
      <c r="Y111" s="7">
        <v>3506353</v>
      </c>
      <c r="Z111" s="7">
        <v>3774792</v>
      </c>
      <c r="AA111" s="7">
        <v>222896</v>
      </c>
    </row>
    <row r="112" spans="1:27" x14ac:dyDescent="0.25">
      <c r="A112" s="5">
        <v>43070</v>
      </c>
      <c r="B112" s="7">
        <v>22793924</v>
      </c>
      <c r="C112" s="7">
        <v>1381076</v>
      </c>
      <c r="D112" s="7">
        <v>1175439</v>
      </c>
      <c r="E112" s="7">
        <v>4633428</v>
      </c>
      <c r="F112" s="7">
        <v>829335</v>
      </c>
      <c r="G112" s="7">
        <v>104181</v>
      </c>
      <c r="H112" s="7">
        <v>120002</v>
      </c>
      <c r="I112" s="7">
        <v>381640</v>
      </c>
      <c r="J112" s="7">
        <v>330968</v>
      </c>
      <c r="K112" s="7">
        <v>313917</v>
      </c>
      <c r="L112" s="7">
        <v>759162</v>
      </c>
      <c r="M112" s="7">
        <v>333293</v>
      </c>
      <c r="N112" s="7">
        <v>8255</v>
      </c>
      <c r="O112" s="7">
        <v>972837</v>
      </c>
      <c r="P112" s="7">
        <v>202762</v>
      </c>
      <c r="Q112" s="7">
        <v>1224328</v>
      </c>
      <c r="R112" s="7">
        <v>1656640</v>
      </c>
      <c r="S112" s="7">
        <v>1613983</v>
      </c>
      <c r="T112" s="7">
        <v>1434559</v>
      </c>
      <c r="U112" s="7">
        <v>1182208</v>
      </c>
      <c r="V112" s="7">
        <v>1386308</v>
      </c>
      <c r="W112" s="7">
        <v>132195</v>
      </c>
      <c r="X112" s="7">
        <v>3459834</v>
      </c>
      <c r="Y112" s="7">
        <v>3521196</v>
      </c>
      <c r="Z112" s="7">
        <v>3879852</v>
      </c>
      <c r="AA112" s="7">
        <v>216704</v>
      </c>
    </row>
    <row r="113" spans="1:27" x14ac:dyDescent="0.25">
      <c r="A113" s="5">
        <v>43101</v>
      </c>
      <c r="B113" s="7">
        <v>22880037</v>
      </c>
      <c r="C113" s="7">
        <v>1482164</v>
      </c>
      <c r="D113" s="7">
        <v>1283201</v>
      </c>
      <c r="E113" s="7">
        <v>4566942</v>
      </c>
      <c r="F113" s="7">
        <v>827060</v>
      </c>
      <c r="G113" s="7">
        <v>103567</v>
      </c>
      <c r="H113" s="7">
        <v>118925</v>
      </c>
      <c r="I113" s="7">
        <v>383848</v>
      </c>
      <c r="J113" s="7">
        <v>330821</v>
      </c>
      <c r="K113" s="7">
        <v>311626</v>
      </c>
      <c r="L113" s="7">
        <v>738165</v>
      </c>
      <c r="M113" s="7">
        <v>323537</v>
      </c>
      <c r="N113" s="7">
        <v>8664</v>
      </c>
      <c r="O113" s="7">
        <v>938738</v>
      </c>
      <c r="P113" s="7">
        <v>201233</v>
      </c>
      <c r="Q113" s="7">
        <v>1239400</v>
      </c>
      <c r="R113" s="7">
        <v>1644512</v>
      </c>
      <c r="S113" s="7">
        <v>1607028</v>
      </c>
      <c r="T113" s="7">
        <v>1399660</v>
      </c>
      <c r="U113" s="7">
        <v>1168848</v>
      </c>
      <c r="V113" s="7">
        <v>1412729</v>
      </c>
      <c r="W113" s="7">
        <v>134284</v>
      </c>
      <c r="X113" s="7">
        <v>3379876</v>
      </c>
      <c r="Y113" s="7">
        <v>3487835</v>
      </c>
      <c r="Z113" s="7">
        <v>4075177</v>
      </c>
      <c r="AA113" s="7">
        <v>191744</v>
      </c>
    </row>
    <row r="114" spans="1:27" x14ac:dyDescent="0.25">
      <c r="A114" s="5">
        <v>43132</v>
      </c>
      <c r="B114" s="7">
        <v>23128740</v>
      </c>
      <c r="C114" s="7">
        <v>1412336</v>
      </c>
      <c r="D114" s="7">
        <v>1206209</v>
      </c>
      <c r="E114" s="7">
        <v>4632236</v>
      </c>
      <c r="F114" s="7">
        <v>845314</v>
      </c>
      <c r="G114" s="7">
        <v>103551</v>
      </c>
      <c r="H114" s="7">
        <v>118846</v>
      </c>
      <c r="I114" s="7">
        <v>401638</v>
      </c>
      <c r="J114" s="7">
        <v>331878</v>
      </c>
      <c r="K114" s="7">
        <v>313277</v>
      </c>
      <c r="L114" s="7">
        <v>753788</v>
      </c>
      <c r="M114" s="7">
        <v>322044</v>
      </c>
      <c r="N114" s="7">
        <v>8653</v>
      </c>
      <c r="O114" s="7">
        <v>965599</v>
      </c>
      <c r="P114" s="7">
        <v>215509</v>
      </c>
      <c r="Q114" s="7">
        <v>1240801</v>
      </c>
      <c r="R114" s="7">
        <v>1638611</v>
      </c>
      <c r="S114" s="7">
        <v>1603070</v>
      </c>
      <c r="T114" s="7">
        <v>1385876</v>
      </c>
      <c r="U114" s="7">
        <v>1175968</v>
      </c>
      <c r="V114" s="7">
        <v>1650170</v>
      </c>
      <c r="W114" s="7">
        <v>135095</v>
      </c>
      <c r="X114" s="7">
        <v>3419670</v>
      </c>
      <c r="Y114" s="7">
        <v>3521829</v>
      </c>
      <c r="Z114" s="7">
        <v>4015556</v>
      </c>
      <c r="AA114" s="7">
        <v>211657</v>
      </c>
    </row>
    <row r="115" spans="1:27" x14ac:dyDescent="0.25">
      <c r="A115" s="5">
        <v>43160</v>
      </c>
      <c r="B115" s="7">
        <v>23340138</v>
      </c>
      <c r="C115" s="7">
        <v>1424350</v>
      </c>
      <c r="D115" s="7">
        <v>1213410</v>
      </c>
      <c r="E115" s="7">
        <v>4664307</v>
      </c>
      <c r="F115" s="7">
        <v>852080</v>
      </c>
      <c r="G115" s="7">
        <v>100496</v>
      </c>
      <c r="H115" s="7">
        <v>113121</v>
      </c>
      <c r="I115" s="7">
        <v>413801</v>
      </c>
      <c r="J115" s="7">
        <v>328309</v>
      </c>
      <c r="K115" s="7">
        <v>317564</v>
      </c>
      <c r="L115" s="7">
        <v>750182</v>
      </c>
      <c r="M115" s="7">
        <v>326413</v>
      </c>
      <c r="N115" s="7">
        <v>8866</v>
      </c>
      <c r="O115" s="7">
        <v>976185</v>
      </c>
      <c r="P115" s="7">
        <v>209320</v>
      </c>
      <c r="Q115" s="7">
        <v>1244214</v>
      </c>
      <c r="R115" s="7">
        <v>1661169</v>
      </c>
      <c r="S115" s="7">
        <v>1625632</v>
      </c>
      <c r="T115" s="7">
        <v>1393641</v>
      </c>
      <c r="U115" s="7">
        <v>1184407</v>
      </c>
      <c r="V115" s="7">
        <v>1695870</v>
      </c>
      <c r="W115" s="7">
        <v>134580</v>
      </c>
      <c r="X115" s="7">
        <v>3449131</v>
      </c>
      <c r="Y115" s="7">
        <v>3494742</v>
      </c>
      <c r="Z115" s="7">
        <v>4077630</v>
      </c>
      <c r="AA115" s="7">
        <v>235084</v>
      </c>
    </row>
    <row r="116" spans="1:27" x14ac:dyDescent="0.25">
      <c r="A116" s="5">
        <v>43191</v>
      </c>
      <c r="B116" s="7">
        <v>23631641</v>
      </c>
      <c r="C116" s="7">
        <v>1463083</v>
      </c>
      <c r="D116" s="7">
        <v>1248560</v>
      </c>
      <c r="E116" s="7">
        <v>4680592</v>
      </c>
      <c r="F116" s="7">
        <v>838997</v>
      </c>
      <c r="G116" s="7">
        <v>100874</v>
      </c>
      <c r="H116" s="7">
        <v>113220</v>
      </c>
      <c r="I116" s="7">
        <v>410773</v>
      </c>
      <c r="J116" s="7">
        <v>329728</v>
      </c>
      <c r="K116" s="7">
        <v>324517</v>
      </c>
      <c r="L116" s="7">
        <v>756885</v>
      </c>
      <c r="M116" s="7">
        <v>331496</v>
      </c>
      <c r="N116" s="7">
        <v>9720</v>
      </c>
      <c r="O116" s="7">
        <v>990845</v>
      </c>
      <c r="P116" s="7">
        <v>205008</v>
      </c>
      <c r="Q116" s="7">
        <v>1173884</v>
      </c>
      <c r="R116" s="7">
        <v>1690233</v>
      </c>
      <c r="S116" s="7">
        <v>1655189</v>
      </c>
      <c r="T116" s="7">
        <v>1461329</v>
      </c>
      <c r="U116" s="7">
        <v>1238636</v>
      </c>
      <c r="V116" s="7">
        <v>1712969</v>
      </c>
      <c r="W116" s="7">
        <v>133625</v>
      </c>
      <c r="X116" s="7">
        <v>3455809</v>
      </c>
      <c r="Y116" s="7">
        <v>3601785</v>
      </c>
      <c r="Z116" s="7">
        <v>4156277</v>
      </c>
      <c r="AA116" s="7">
        <v>235680</v>
      </c>
    </row>
    <row r="117" spans="1:27" x14ac:dyDescent="0.25">
      <c r="A117" s="5">
        <v>43221</v>
      </c>
      <c r="B117" s="7">
        <v>24023945</v>
      </c>
      <c r="C117" s="7">
        <v>1423417</v>
      </c>
      <c r="D117" s="7">
        <v>1199199</v>
      </c>
      <c r="E117" s="7">
        <v>4727304</v>
      </c>
      <c r="F117" s="7">
        <v>847165</v>
      </c>
      <c r="G117" s="7">
        <v>98588</v>
      </c>
      <c r="H117" s="7">
        <v>114279</v>
      </c>
      <c r="I117" s="7">
        <v>410401</v>
      </c>
      <c r="J117" s="7">
        <v>338098</v>
      </c>
      <c r="K117" s="7">
        <v>332926</v>
      </c>
      <c r="L117" s="7">
        <v>769954</v>
      </c>
      <c r="M117" s="7">
        <v>329003</v>
      </c>
      <c r="N117" s="7">
        <v>9105</v>
      </c>
      <c r="O117" s="7">
        <v>982722</v>
      </c>
      <c r="P117" s="7">
        <v>204440</v>
      </c>
      <c r="Q117" s="7">
        <v>1199272</v>
      </c>
      <c r="R117" s="7">
        <v>1707121</v>
      </c>
      <c r="S117" s="7">
        <v>1672256</v>
      </c>
      <c r="T117" s="7">
        <v>1501206</v>
      </c>
      <c r="U117" s="7">
        <v>1275757</v>
      </c>
      <c r="V117" s="7">
        <v>1745340</v>
      </c>
      <c r="W117" s="7">
        <v>139036</v>
      </c>
      <c r="X117" s="7">
        <v>3547997</v>
      </c>
      <c r="Y117" s="7">
        <v>3718860</v>
      </c>
      <c r="Z117" s="7">
        <v>4210039</v>
      </c>
      <c r="AA117" s="7">
        <v>243389</v>
      </c>
    </row>
    <row r="118" spans="1:27" x14ac:dyDescent="0.25">
      <c r="A118" s="5">
        <v>43252</v>
      </c>
      <c r="B118" s="7">
        <v>24044249</v>
      </c>
      <c r="C118" s="7">
        <v>1463010</v>
      </c>
      <c r="D118" s="7">
        <v>1245656</v>
      </c>
      <c r="E118" s="7">
        <v>4722070</v>
      </c>
      <c r="F118" s="7">
        <v>839801</v>
      </c>
      <c r="G118" s="7">
        <v>96772</v>
      </c>
      <c r="H118" s="7">
        <v>114188</v>
      </c>
      <c r="I118" s="7">
        <v>380395</v>
      </c>
      <c r="J118" s="7">
        <v>338643</v>
      </c>
      <c r="K118" s="7">
        <v>328480</v>
      </c>
      <c r="L118" s="7">
        <v>781471</v>
      </c>
      <c r="M118" s="7">
        <v>333015</v>
      </c>
      <c r="N118" s="7">
        <v>10831</v>
      </c>
      <c r="O118" s="7">
        <v>1004481</v>
      </c>
      <c r="P118" s="7">
        <v>212010</v>
      </c>
      <c r="Q118" s="7">
        <v>1194227</v>
      </c>
      <c r="R118" s="7">
        <v>1711286</v>
      </c>
      <c r="S118" s="7">
        <v>1680872</v>
      </c>
      <c r="T118" s="7">
        <v>1501899</v>
      </c>
      <c r="U118" s="7">
        <v>1279569</v>
      </c>
      <c r="V118" s="7">
        <v>1750966</v>
      </c>
      <c r="W118" s="7">
        <v>121988</v>
      </c>
      <c r="X118" s="7">
        <v>3530405</v>
      </c>
      <c r="Y118" s="7">
        <v>3749077</v>
      </c>
      <c r="Z118" s="7">
        <v>4184141</v>
      </c>
      <c r="AA118" s="7">
        <v>237168</v>
      </c>
    </row>
    <row r="119" spans="1:27" x14ac:dyDescent="0.25">
      <c r="A119" s="5">
        <v>43282</v>
      </c>
      <c r="B119" s="7">
        <v>24222422</v>
      </c>
      <c r="C119" s="7">
        <v>1527659</v>
      </c>
      <c r="D119" s="7">
        <v>1312011</v>
      </c>
      <c r="E119" s="7">
        <v>4710122</v>
      </c>
      <c r="F119" s="7">
        <v>816476</v>
      </c>
      <c r="G119" s="7">
        <v>96831</v>
      </c>
      <c r="H119" s="7">
        <v>112279</v>
      </c>
      <c r="I119" s="7">
        <v>366819</v>
      </c>
      <c r="J119" s="7">
        <v>351452</v>
      </c>
      <c r="K119" s="7">
        <v>326180</v>
      </c>
      <c r="L119" s="7">
        <v>787686</v>
      </c>
      <c r="M119" s="7">
        <v>336380</v>
      </c>
      <c r="N119" s="7">
        <v>10019</v>
      </c>
      <c r="O119" s="7">
        <v>1009060</v>
      </c>
      <c r="P119" s="7">
        <v>206076</v>
      </c>
      <c r="Q119" s="7">
        <v>1208047</v>
      </c>
      <c r="R119" s="7">
        <v>1725958</v>
      </c>
      <c r="S119" s="7">
        <v>1696162</v>
      </c>
      <c r="T119" s="7">
        <v>1498901</v>
      </c>
      <c r="U119" s="7">
        <v>1274620</v>
      </c>
      <c r="V119" s="7">
        <v>1792151</v>
      </c>
      <c r="W119" s="7">
        <v>122061</v>
      </c>
      <c r="X119" s="7">
        <v>3543823</v>
      </c>
      <c r="Y119" s="7">
        <v>3746568</v>
      </c>
      <c r="Z119" s="7">
        <v>4233344</v>
      </c>
      <c r="AA119" s="7">
        <v>235849</v>
      </c>
    </row>
    <row r="120" spans="1:27" x14ac:dyDescent="0.25">
      <c r="A120" s="5">
        <v>43313</v>
      </c>
      <c r="B120" s="7">
        <v>24585201</v>
      </c>
      <c r="C120" s="7">
        <v>1496801</v>
      </c>
      <c r="D120" s="7">
        <v>1278662</v>
      </c>
      <c r="E120" s="7">
        <v>4788795</v>
      </c>
      <c r="F120" s="7">
        <v>836721</v>
      </c>
      <c r="G120" s="7">
        <v>96382</v>
      </c>
      <c r="H120" s="7">
        <v>113411</v>
      </c>
      <c r="I120" s="7">
        <v>367445</v>
      </c>
      <c r="J120" s="7">
        <v>357135</v>
      </c>
      <c r="K120" s="7">
        <v>327741</v>
      </c>
      <c r="L120" s="7">
        <v>797839</v>
      </c>
      <c r="M120" s="7">
        <v>340774</v>
      </c>
      <c r="N120" s="7">
        <v>10340</v>
      </c>
      <c r="O120" s="7">
        <v>1043949</v>
      </c>
      <c r="P120" s="7">
        <v>214061</v>
      </c>
      <c r="Q120" s="7">
        <v>1233992</v>
      </c>
      <c r="R120" s="7">
        <v>1749922</v>
      </c>
      <c r="S120" s="7">
        <v>1718828</v>
      </c>
      <c r="T120" s="7">
        <v>1493283</v>
      </c>
      <c r="U120" s="7">
        <v>1263779</v>
      </c>
      <c r="V120" s="7">
        <v>1865797</v>
      </c>
      <c r="W120" s="7">
        <v>122400</v>
      </c>
      <c r="X120" s="7">
        <v>3632898</v>
      </c>
      <c r="Y120" s="7">
        <v>3793599</v>
      </c>
      <c r="Z120" s="7">
        <v>4278012</v>
      </c>
      <c r="AA120" s="7">
        <v>252100</v>
      </c>
    </row>
    <row r="121" spans="1:27" x14ac:dyDescent="0.25">
      <c r="A121" s="5">
        <v>43344</v>
      </c>
      <c r="B121" s="7">
        <v>24922210</v>
      </c>
      <c r="C121" s="7">
        <v>1511048</v>
      </c>
      <c r="D121" s="7">
        <v>1315912</v>
      </c>
      <c r="E121" s="7">
        <v>4845563</v>
      </c>
      <c r="F121" s="7">
        <v>829529</v>
      </c>
      <c r="G121" s="7">
        <v>95772</v>
      </c>
      <c r="H121" s="7">
        <v>124638</v>
      </c>
      <c r="I121" s="7">
        <v>361966</v>
      </c>
      <c r="J121" s="7">
        <v>358639</v>
      </c>
      <c r="K121" s="7">
        <v>324423</v>
      </c>
      <c r="L121" s="7">
        <v>816220</v>
      </c>
      <c r="M121" s="7">
        <v>340797</v>
      </c>
      <c r="N121" s="7">
        <v>8621</v>
      </c>
      <c r="O121" s="7">
        <v>1083568</v>
      </c>
      <c r="P121" s="7">
        <v>222377</v>
      </c>
      <c r="Q121" s="7">
        <v>1242775</v>
      </c>
      <c r="R121" s="7">
        <v>1777360</v>
      </c>
      <c r="S121" s="7">
        <v>1749034</v>
      </c>
      <c r="T121" s="7">
        <v>1509438</v>
      </c>
      <c r="U121" s="7">
        <v>1270498</v>
      </c>
      <c r="V121" s="7">
        <v>1931708</v>
      </c>
      <c r="W121" s="7">
        <v>122963</v>
      </c>
      <c r="X121" s="7">
        <v>3682471</v>
      </c>
      <c r="Y121" s="7">
        <v>3784019</v>
      </c>
      <c r="Z121" s="7">
        <v>4394741</v>
      </c>
      <c r="AA121" s="7">
        <v>243086</v>
      </c>
    </row>
    <row r="122" spans="1:27" x14ac:dyDescent="0.25">
      <c r="A122" s="5">
        <v>43374</v>
      </c>
      <c r="B122" s="7">
        <v>25067351</v>
      </c>
      <c r="C122" s="7">
        <v>1469811</v>
      </c>
      <c r="D122" s="7">
        <v>1278124</v>
      </c>
      <c r="E122" s="7">
        <v>4945878</v>
      </c>
      <c r="F122" s="7">
        <v>841255</v>
      </c>
      <c r="G122" s="7">
        <v>96417</v>
      </c>
      <c r="H122" s="7">
        <v>130350</v>
      </c>
      <c r="I122" s="7">
        <v>358378</v>
      </c>
      <c r="J122" s="7">
        <v>364730</v>
      </c>
      <c r="K122" s="7">
        <v>326854</v>
      </c>
      <c r="L122" s="7">
        <v>853595</v>
      </c>
      <c r="M122" s="7">
        <v>334870</v>
      </c>
      <c r="N122" s="7">
        <v>8177</v>
      </c>
      <c r="O122" s="7">
        <v>1115079</v>
      </c>
      <c r="P122" s="7">
        <v>220085</v>
      </c>
      <c r="Q122" s="7">
        <v>1254966</v>
      </c>
      <c r="R122" s="7">
        <v>1782770</v>
      </c>
      <c r="S122" s="7">
        <v>1754008</v>
      </c>
      <c r="T122" s="7">
        <v>1529206</v>
      </c>
      <c r="U122" s="7">
        <v>1279159</v>
      </c>
      <c r="V122" s="7">
        <v>1971301</v>
      </c>
      <c r="W122" s="7">
        <v>124112</v>
      </c>
      <c r="X122" s="7">
        <v>3720785</v>
      </c>
      <c r="Y122" s="7">
        <v>3717122</v>
      </c>
      <c r="Z122" s="7">
        <v>4418311</v>
      </c>
      <c r="AA122" s="7">
        <v>257202</v>
      </c>
    </row>
    <row r="123" spans="1:27" x14ac:dyDescent="0.25">
      <c r="A123" s="5">
        <v>43405</v>
      </c>
      <c r="B123" s="7">
        <v>25382809</v>
      </c>
      <c r="C123" s="7">
        <v>1460545</v>
      </c>
      <c r="D123" s="7">
        <v>1271759</v>
      </c>
      <c r="E123" s="7">
        <v>4997743</v>
      </c>
      <c r="F123" s="7">
        <v>860382</v>
      </c>
      <c r="G123" s="7">
        <v>95544</v>
      </c>
      <c r="H123" s="7">
        <v>130139</v>
      </c>
      <c r="I123" s="7">
        <v>369567</v>
      </c>
      <c r="J123" s="7">
        <v>368431</v>
      </c>
      <c r="K123" s="7">
        <v>327340</v>
      </c>
      <c r="L123" s="7">
        <v>850695</v>
      </c>
      <c r="M123" s="7">
        <v>342925</v>
      </c>
      <c r="N123" s="7">
        <v>7740</v>
      </c>
      <c r="O123" s="7">
        <v>1122342</v>
      </c>
      <c r="P123" s="7">
        <v>219893</v>
      </c>
      <c r="Q123" s="7">
        <v>1287798</v>
      </c>
      <c r="R123" s="7">
        <v>1821642</v>
      </c>
      <c r="S123" s="7">
        <v>1792500</v>
      </c>
      <c r="T123" s="7">
        <v>1517804</v>
      </c>
      <c r="U123" s="7">
        <v>1278380</v>
      </c>
      <c r="V123" s="7">
        <v>1975660</v>
      </c>
      <c r="W123" s="7">
        <v>117079</v>
      </c>
      <c r="X123" s="7">
        <v>3838892</v>
      </c>
      <c r="Y123" s="7">
        <v>3754066</v>
      </c>
      <c r="Z123" s="7">
        <v>4467793</v>
      </c>
      <c r="AA123" s="7">
        <v>260866</v>
      </c>
    </row>
    <row r="124" spans="1:27" x14ac:dyDescent="0.25">
      <c r="A124" s="5">
        <v>43435</v>
      </c>
      <c r="B124" s="7">
        <v>25623056</v>
      </c>
      <c r="C124" s="7">
        <v>1535720</v>
      </c>
      <c r="D124" s="7">
        <v>1339159</v>
      </c>
      <c r="E124" s="7">
        <v>4967111</v>
      </c>
      <c r="F124" s="7">
        <v>843139</v>
      </c>
      <c r="G124" s="7">
        <v>95140</v>
      </c>
      <c r="H124" s="7">
        <v>137074</v>
      </c>
      <c r="I124" s="7">
        <v>293512</v>
      </c>
      <c r="J124" s="7">
        <v>370654</v>
      </c>
      <c r="K124" s="7">
        <v>325620</v>
      </c>
      <c r="L124" s="7">
        <v>856628</v>
      </c>
      <c r="M124" s="7">
        <v>352746</v>
      </c>
      <c r="N124" s="7">
        <v>7570</v>
      </c>
      <c r="O124" s="7">
        <v>1151487</v>
      </c>
      <c r="P124" s="7">
        <v>214768</v>
      </c>
      <c r="Q124" s="7">
        <v>1324961</v>
      </c>
      <c r="R124" s="7">
        <v>1859560</v>
      </c>
      <c r="S124" s="7">
        <v>1829775</v>
      </c>
      <c r="T124" s="7">
        <v>1506516</v>
      </c>
      <c r="U124" s="7">
        <v>1260652</v>
      </c>
      <c r="V124" s="7">
        <v>2002082</v>
      </c>
      <c r="W124" s="7">
        <v>119941</v>
      </c>
      <c r="X124" s="7">
        <v>3892913</v>
      </c>
      <c r="Y124" s="7">
        <v>3745862</v>
      </c>
      <c r="Z124" s="7">
        <v>4508982</v>
      </c>
      <c r="AA124" s="7">
        <v>279348</v>
      </c>
    </row>
    <row r="125" spans="1:27" x14ac:dyDescent="0.25">
      <c r="A125" s="5">
        <v>43466</v>
      </c>
      <c r="B125" s="7">
        <v>25760819</v>
      </c>
      <c r="C125" s="7">
        <v>1732788</v>
      </c>
      <c r="D125" s="7">
        <v>1531816</v>
      </c>
      <c r="E125" s="7">
        <v>4922293</v>
      </c>
      <c r="F125" s="7">
        <v>803120</v>
      </c>
      <c r="G125" s="7">
        <v>95025</v>
      </c>
      <c r="H125" s="7">
        <v>143024</v>
      </c>
      <c r="I125" s="7">
        <v>324429</v>
      </c>
      <c r="J125" s="7">
        <v>370894</v>
      </c>
      <c r="K125" s="7">
        <v>340671</v>
      </c>
      <c r="L125" s="7">
        <v>853310</v>
      </c>
      <c r="M125" s="7">
        <v>341409</v>
      </c>
      <c r="N125" s="7">
        <v>8368</v>
      </c>
      <c r="O125" s="7">
        <v>1128358</v>
      </c>
      <c r="P125" s="7">
        <v>200632</v>
      </c>
      <c r="Q125" s="7">
        <v>1317111</v>
      </c>
      <c r="R125" s="7">
        <v>1881368</v>
      </c>
      <c r="S125" s="7">
        <v>1853036</v>
      </c>
      <c r="T125" s="7">
        <v>1399236</v>
      </c>
      <c r="U125" s="7">
        <v>1174401</v>
      </c>
      <c r="V125" s="7">
        <v>1997672</v>
      </c>
      <c r="W125" s="7">
        <v>125900</v>
      </c>
      <c r="X125" s="7">
        <v>3864086</v>
      </c>
      <c r="Y125" s="7">
        <v>3746886</v>
      </c>
      <c r="Z125" s="7">
        <v>4648662</v>
      </c>
      <c r="AA125" s="7">
        <v>250718</v>
      </c>
    </row>
  </sheetData>
  <mergeCells count="27">
    <mergeCell ref="A4:A7"/>
    <mergeCell ref="B4:AA4"/>
    <mergeCell ref="B5:B7"/>
    <mergeCell ref="C5:C7"/>
    <mergeCell ref="E5:E7"/>
    <mergeCell ref="F5:P5"/>
    <mergeCell ref="Q5:Q7"/>
    <mergeCell ref="R5:R7"/>
    <mergeCell ref="T5:T7"/>
    <mergeCell ref="V5:V7"/>
    <mergeCell ref="X5:X7"/>
    <mergeCell ref="Y5:Y7"/>
    <mergeCell ref="Z5:Z7"/>
    <mergeCell ref="AA5:AA7"/>
    <mergeCell ref="D6:D7"/>
    <mergeCell ref="F6:F7"/>
    <mergeCell ref="G6:G7"/>
    <mergeCell ref="H6:H7"/>
    <mergeCell ref="I6:I7"/>
    <mergeCell ref="J6:J7"/>
    <mergeCell ref="W6:W7"/>
    <mergeCell ref="K6:K7"/>
    <mergeCell ref="L6:L7"/>
    <mergeCell ref="M6:M7"/>
    <mergeCell ref="O6:O7"/>
    <mergeCell ref="S6:S7"/>
    <mergeCell ref="U6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25"/>
  <sheetViews>
    <sheetView topLeftCell="A7" zoomScale="76" zoomScaleNormal="76" workbookViewId="0">
      <selection activeCell="R5" sqref="R5:R7"/>
    </sheetView>
  </sheetViews>
  <sheetFormatPr defaultColWidth="8.7109375" defaultRowHeight="15" x14ac:dyDescent="0.25"/>
  <cols>
    <col min="1" max="1" width="12.7109375" style="1" customWidth="1"/>
    <col min="2" max="2" width="12.28515625" style="1" customWidth="1"/>
    <col min="3" max="3" width="15.140625" style="1" customWidth="1"/>
    <col min="4" max="4" width="15.42578125" style="1" customWidth="1"/>
    <col min="5" max="5" width="18.5703125" style="1" customWidth="1"/>
    <col min="6" max="6" width="17.85546875" style="1" customWidth="1"/>
    <col min="7" max="7" width="14.85546875" style="1" customWidth="1"/>
    <col min="8" max="8" width="18.5703125" style="1" customWidth="1"/>
    <col min="9" max="9" width="20.5703125" style="1" customWidth="1"/>
    <col min="10" max="10" width="17.140625" style="1" customWidth="1"/>
    <col min="11" max="11" width="22.42578125" style="1" customWidth="1"/>
    <col min="12" max="12" width="20.5703125" style="1" customWidth="1"/>
    <col min="13" max="13" width="18.140625" style="1" customWidth="1"/>
    <col min="14" max="14" width="16.85546875" style="1" customWidth="1"/>
    <col min="15" max="15" width="20.85546875" style="1" customWidth="1"/>
    <col min="16" max="16" width="18.42578125" style="1" customWidth="1"/>
    <col min="17" max="17" width="19.85546875" style="1" customWidth="1"/>
    <col min="18" max="18" width="17.42578125" style="1" customWidth="1"/>
    <col min="19" max="19" width="17.85546875" style="1" customWidth="1"/>
    <col min="20" max="20" width="22.140625" style="1" customWidth="1"/>
    <col min="21" max="21" width="17.5703125" style="1" customWidth="1"/>
    <col min="22" max="22" width="17.140625" style="1" customWidth="1"/>
    <col min="23" max="23" width="16.7109375" style="1" customWidth="1"/>
    <col min="24" max="24" width="19.5703125" style="1" customWidth="1"/>
    <col min="25" max="25" width="15.5703125" style="1" customWidth="1"/>
    <col min="26" max="26" width="18.28515625" style="1" customWidth="1"/>
    <col min="27" max="27" width="18.7109375" style="1" customWidth="1"/>
    <col min="28" max="16384" width="8.7109375" style="1"/>
  </cols>
  <sheetData>
    <row r="1" spans="1:27" ht="15.75" x14ac:dyDescent="0.25">
      <c r="A1" s="2" t="s">
        <v>29</v>
      </c>
      <c r="Q1" s="9" t="s">
        <v>56</v>
      </c>
    </row>
    <row r="2" spans="1:27" x14ac:dyDescent="0.25">
      <c r="A2" s="3" t="s">
        <v>0</v>
      </c>
      <c r="Q2" s="1" t="s">
        <v>57</v>
      </c>
    </row>
    <row r="3" spans="1:27" x14ac:dyDescent="0.25">
      <c r="Q3" s="14" t="s">
        <v>58</v>
      </c>
    </row>
    <row r="4" spans="1:27" ht="14.45" customHeight="1" x14ac:dyDescent="0.25">
      <c r="A4" s="65" t="s">
        <v>1</v>
      </c>
      <c r="B4" s="65" t="s">
        <v>30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x14ac:dyDescent="0.25">
      <c r="A5" s="65"/>
      <c r="B5" s="65" t="s">
        <v>2</v>
      </c>
      <c r="C5" s="65" t="s">
        <v>3</v>
      </c>
      <c r="D5" s="4" t="s">
        <v>4</v>
      </c>
      <c r="E5" s="65" t="s">
        <v>5</v>
      </c>
      <c r="F5" s="65" t="s">
        <v>4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5" t="s">
        <v>6</v>
      </c>
      <c r="R5" s="63" t="s">
        <v>7</v>
      </c>
      <c r="S5" s="4" t="s">
        <v>4</v>
      </c>
      <c r="T5" s="65" t="s">
        <v>8</v>
      </c>
      <c r="U5" s="4" t="s">
        <v>4</v>
      </c>
      <c r="V5" s="65" t="s">
        <v>9</v>
      </c>
      <c r="W5" s="4" t="s">
        <v>4</v>
      </c>
      <c r="X5" s="65" t="s">
        <v>10</v>
      </c>
      <c r="Y5" s="65" t="s">
        <v>11</v>
      </c>
      <c r="Z5" s="65" t="s">
        <v>12</v>
      </c>
      <c r="AA5" s="65" t="s">
        <v>13</v>
      </c>
    </row>
    <row r="6" spans="1:27" x14ac:dyDescent="0.25">
      <c r="A6" s="65"/>
      <c r="B6" s="66"/>
      <c r="C6" s="66"/>
      <c r="D6" s="65" t="s">
        <v>14</v>
      </c>
      <c r="E6" s="66"/>
      <c r="F6" s="65" t="s">
        <v>15</v>
      </c>
      <c r="G6" s="63" t="s">
        <v>16</v>
      </c>
      <c r="H6" s="63" t="s">
        <v>17</v>
      </c>
      <c r="I6" s="65" t="s">
        <v>18</v>
      </c>
      <c r="J6" s="65" t="s">
        <v>19</v>
      </c>
      <c r="K6" s="65" t="s">
        <v>20</v>
      </c>
      <c r="L6" s="65" t="s">
        <v>21</v>
      </c>
      <c r="M6" s="65" t="s">
        <v>22</v>
      </c>
      <c r="N6" s="4" t="s">
        <v>4</v>
      </c>
      <c r="O6" s="65" t="s">
        <v>23</v>
      </c>
      <c r="P6" s="4" t="s">
        <v>4</v>
      </c>
      <c r="Q6" s="66"/>
      <c r="R6" s="64"/>
      <c r="S6" s="65" t="s">
        <v>24</v>
      </c>
      <c r="T6" s="66"/>
      <c r="U6" s="65" t="s">
        <v>25</v>
      </c>
      <c r="V6" s="66"/>
      <c r="W6" s="65" t="s">
        <v>26</v>
      </c>
      <c r="X6" s="66"/>
      <c r="Y6" s="66"/>
      <c r="Z6" s="66"/>
      <c r="AA6" s="66"/>
    </row>
    <row r="7" spans="1:27" ht="90" x14ac:dyDescent="0.25">
      <c r="A7" s="65"/>
      <c r="B7" s="66"/>
      <c r="C7" s="66"/>
      <c r="D7" s="66"/>
      <c r="E7" s="66"/>
      <c r="F7" s="66"/>
      <c r="G7" s="64"/>
      <c r="H7" s="64"/>
      <c r="I7" s="66"/>
      <c r="J7" s="66"/>
      <c r="K7" s="66"/>
      <c r="L7" s="66"/>
      <c r="M7" s="66"/>
      <c r="N7" s="54" t="s">
        <v>27</v>
      </c>
      <c r="O7" s="66"/>
      <c r="P7" s="4" t="s">
        <v>28</v>
      </c>
      <c r="Q7" s="66"/>
      <c r="R7" s="64"/>
      <c r="S7" s="66"/>
      <c r="T7" s="66"/>
      <c r="U7" s="66"/>
      <c r="V7" s="66"/>
      <c r="W7" s="66"/>
      <c r="X7" s="66"/>
      <c r="Y7" s="66"/>
      <c r="Z7" s="66"/>
      <c r="AA7" s="66"/>
    </row>
    <row r="8" spans="1:27" x14ac:dyDescent="0.25">
      <c r="A8" s="8">
        <v>39904</v>
      </c>
      <c r="B8" s="6">
        <v>346769</v>
      </c>
      <c r="C8" s="7">
        <v>3084</v>
      </c>
      <c r="D8" s="7">
        <v>1813</v>
      </c>
      <c r="E8" s="7">
        <v>69830</v>
      </c>
      <c r="F8" s="7">
        <v>23171</v>
      </c>
      <c r="G8" s="7">
        <v>3464</v>
      </c>
      <c r="H8" s="7">
        <v>1861</v>
      </c>
      <c r="I8" s="7">
        <v>381</v>
      </c>
      <c r="J8" s="7">
        <v>2475</v>
      </c>
      <c r="K8" s="7">
        <v>2758</v>
      </c>
      <c r="L8" s="7">
        <v>4990</v>
      </c>
      <c r="M8" s="7">
        <v>4112</v>
      </c>
      <c r="N8" s="7">
        <v>84</v>
      </c>
      <c r="O8" s="7">
        <v>6063</v>
      </c>
      <c r="P8" s="7">
        <v>4362</v>
      </c>
      <c r="Q8" s="7">
        <v>3737</v>
      </c>
      <c r="R8" s="7">
        <v>15256</v>
      </c>
      <c r="S8" s="7">
        <v>10854</v>
      </c>
      <c r="T8" s="7">
        <v>43447</v>
      </c>
      <c r="U8" s="7">
        <v>33272</v>
      </c>
      <c r="V8" s="7">
        <v>10279</v>
      </c>
      <c r="W8" s="7">
        <v>3181</v>
      </c>
      <c r="X8" s="7">
        <v>138637</v>
      </c>
      <c r="Y8" s="7">
        <v>18999</v>
      </c>
      <c r="Z8" s="7">
        <v>30438</v>
      </c>
      <c r="AA8" s="7">
        <v>13062</v>
      </c>
    </row>
    <row r="9" spans="1:27" x14ac:dyDescent="0.25">
      <c r="A9" s="8">
        <v>39934</v>
      </c>
      <c r="B9" s="7">
        <v>380065</v>
      </c>
      <c r="C9" s="7">
        <v>4032</v>
      </c>
      <c r="D9" s="7">
        <v>1871</v>
      </c>
      <c r="E9" s="7">
        <v>74435</v>
      </c>
      <c r="F9" s="7">
        <v>24133</v>
      </c>
      <c r="G9" s="7">
        <v>3711</v>
      </c>
      <c r="H9" s="7">
        <v>1999</v>
      </c>
      <c r="I9" s="7">
        <v>672</v>
      </c>
      <c r="J9" s="7">
        <v>2615</v>
      </c>
      <c r="K9" s="7">
        <v>2728</v>
      </c>
      <c r="L9" s="7">
        <v>6294</v>
      </c>
      <c r="M9" s="7">
        <v>3428</v>
      </c>
      <c r="N9" s="7">
        <v>352</v>
      </c>
      <c r="O9" s="7">
        <v>6549</v>
      </c>
      <c r="P9" s="7">
        <v>4486</v>
      </c>
      <c r="Q9" s="7">
        <v>3685</v>
      </c>
      <c r="R9" s="7">
        <v>15318</v>
      </c>
      <c r="S9" s="7">
        <v>12145</v>
      </c>
      <c r="T9" s="7">
        <v>45735</v>
      </c>
      <c r="U9" s="7">
        <v>35817</v>
      </c>
      <c r="V9" s="7">
        <v>11171</v>
      </c>
      <c r="W9" s="7">
        <v>2853</v>
      </c>
      <c r="X9" s="7">
        <v>153720</v>
      </c>
      <c r="Y9" s="7">
        <v>23304</v>
      </c>
      <c r="Z9" s="7">
        <v>34319</v>
      </c>
      <c r="AA9" s="7">
        <v>14346</v>
      </c>
    </row>
    <row r="10" spans="1:27" x14ac:dyDescent="0.25">
      <c r="A10" s="8">
        <v>39965</v>
      </c>
      <c r="B10" s="7">
        <v>409667</v>
      </c>
      <c r="C10" s="7">
        <v>3235</v>
      </c>
      <c r="D10" s="7">
        <v>1967</v>
      </c>
      <c r="E10" s="7">
        <v>80603</v>
      </c>
      <c r="F10" s="7">
        <v>24110</v>
      </c>
      <c r="G10" s="7">
        <v>3984</v>
      </c>
      <c r="H10" s="7">
        <v>2156</v>
      </c>
      <c r="I10" s="7">
        <v>672</v>
      </c>
      <c r="J10" s="7">
        <v>2989</v>
      </c>
      <c r="K10" s="7">
        <v>2782</v>
      </c>
      <c r="L10" s="7">
        <v>6614</v>
      </c>
      <c r="M10" s="7">
        <v>4354</v>
      </c>
      <c r="N10" s="7">
        <v>564</v>
      </c>
      <c r="O10" s="7">
        <v>6713</v>
      </c>
      <c r="P10" s="7">
        <v>4900</v>
      </c>
      <c r="Q10" s="7">
        <v>4364</v>
      </c>
      <c r="R10" s="7">
        <v>16065</v>
      </c>
      <c r="S10" s="7">
        <v>12997</v>
      </c>
      <c r="T10" s="7">
        <v>54593</v>
      </c>
      <c r="U10" s="7">
        <v>43278</v>
      </c>
      <c r="V10" s="7">
        <v>11626</v>
      </c>
      <c r="W10" s="7">
        <v>3251</v>
      </c>
      <c r="X10" s="7">
        <v>164652</v>
      </c>
      <c r="Y10" s="7">
        <v>25073</v>
      </c>
      <c r="Z10" s="7">
        <v>34600</v>
      </c>
      <c r="AA10" s="7">
        <v>14857</v>
      </c>
    </row>
    <row r="11" spans="1:27" x14ac:dyDescent="0.25">
      <c r="A11" s="8">
        <v>39995</v>
      </c>
      <c r="B11" s="7">
        <v>428450</v>
      </c>
      <c r="C11" s="7">
        <v>5346</v>
      </c>
      <c r="D11" s="7">
        <v>2732</v>
      </c>
      <c r="E11" s="7">
        <v>89104</v>
      </c>
      <c r="F11" s="7">
        <v>24647</v>
      </c>
      <c r="G11" s="7">
        <v>4178</v>
      </c>
      <c r="H11" s="7">
        <v>2046</v>
      </c>
      <c r="I11" s="7">
        <v>1192</v>
      </c>
      <c r="J11" s="7">
        <v>1587</v>
      </c>
      <c r="K11" s="7">
        <v>3863</v>
      </c>
      <c r="L11" s="7">
        <v>8486</v>
      </c>
      <c r="M11" s="7">
        <v>4989</v>
      </c>
      <c r="N11" s="7">
        <v>712</v>
      </c>
      <c r="O11" s="7">
        <v>9563</v>
      </c>
      <c r="P11" s="7">
        <v>6221</v>
      </c>
      <c r="Q11" s="7">
        <v>5646</v>
      </c>
      <c r="R11" s="7">
        <v>16871</v>
      </c>
      <c r="S11" s="7">
        <v>13457</v>
      </c>
      <c r="T11" s="7">
        <v>43162</v>
      </c>
      <c r="U11" s="7">
        <v>31523</v>
      </c>
      <c r="V11" s="7">
        <v>12542</v>
      </c>
      <c r="W11" s="7">
        <v>3552</v>
      </c>
      <c r="X11" s="7">
        <v>174102</v>
      </c>
      <c r="Y11" s="7">
        <v>27509</v>
      </c>
      <c r="Z11" s="7">
        <v>40487</v>
      </c>
      <c r="AA11" s="7">
        <v>13680</v>
      </c>
    </row>
    <row r="12" spans="1:27" x14ac:dyDescent="0.25">
      <c r="A12" s="8">
        <v>40026</v>
      </c>
      <c r="B12" s="7">
        <v>478269</v>
      </c>
      <c r="C12" s="7">
        <v>7519</v>
      </c>
      <c r="D12" s="7">
        <v>2067</v>
      </c>
      <c r="E12" s="7">
        <v>93343</v>
      </c>
      <c r="F12" s="7">
        <v>22821</v>
      </c>
      <c r="G12" s="7">
        <v>5309</v>
      </c>
      <c r="H12" s="7">
        <v>3447</v>
      </c>
      <c r="I12" s="7">
        <v>2056</v>
      </c>
      <c r="J12" s="7">
        <v>1980</v>
      </c>
      <c r="K12" s="7">
        <v>3972</v>
      </c>
      <c r="L12" s="7">
        <v>7568</v>
      </c>
      <c r="M12" s="7">
        <v>7805</v>
      </c>
      <c r="N12" s="7">
        <v>615</v>
      </c>
      <c r="O12" s="7">
        <v>10877</v>
      </c>
      <c r="P12" s="7">
        <v>7550</v>
      </c>
      <c r="Q12" s="7">
        <v>5656</v>
      </c>
      <c r="R12" s="7">
        <v>17591</v>
      </c>
      <c r="S12" s="7">
        <v>14571</v>
      </c>
      <c r="T12" s="7">
        <v>45867</v>
      </c>
      <c r="U12" s="7">
        <v>32796</v>
      </c>
      <c r="V12" s="7">
        <v>16209</v>
      </c>
      <c r="W12" s="7">
        <v>4738</v>
      </c>
      <c r="X12" s="7">
        <v>196035</v>
      </c>
      <c r="Y12" s="7">
        <v>41231</v>
      </c>
      <c r="Z12" s="7">
        <v>40969</v>
      </c>
      <c r="AA12" s="7">
        <v>13850</v>
      </c>
    </row>
    <row r="13" spans="1:27" x14ac:dyDescent="0.25">
      <c r="A13" s="8">
        <v>40057</v>
      </c>
      <c r="B13" s="7">
        <v>524767</v>
      </c>
      <c r="C13" s="7">
        <v>5405</v>
      </c>
      <c r="D13" s="7">
        <v>2323</v>
      </c>
      <c r="E13" s="7">
        <v>111160</v>
      </c>
      <c r="F13" s="7">
        <v>24682</v>
      </c>
      <c r="G13" s="7">
        <v>5780</v>
      </c>
      <c r="H13" s="7">
        <v>3780</v>
      </c>
      <c r="I13" s="7">
        <v>2056</v>
      </c>
      <c r="J13" s="7">
        <v>2289</v>
      </c>
      <c r="K13" s="7">
        <v>4426</v>
      </c>
      <c r="L13" s="7">
        <v>13342</v>
      </c>
      <c r="M13" s="7">
        <v>8578</v>
      </c>
      <c r="N13" s="7">
        <v>599</v>
      </c>
      <c r="O13" s="7">
        <v>13448</v>
      </c>
      <c r="P13" s="7">
        <v>10864</v>
      </c>
      <c r="Q13" s="7">
        <v>6114</v>
      </c>
      <c r="R13" s="7">
        <v>18637</v>
      </c>
      <c r="S13" s="7">
        <v>15530</v>
      </c>
      <c r="T13" s="7">
        <v>48143</v>
      </c>
      <c r="U13" s="7">
        <v>34078</v>
      </c>
      <c r="V13" s="7">
        <v>16031</v>
      </c>
      <c r="W13" s="7">
        <v>4743</v>
      </c>
      <c r="X13" s="7">
        <v>215448</v>
      </c>
      <c r="Y13" s="7">
        <v>44715</v>
      </c>
      <c r="Z13" s="7">
        <v>44788</v>
      </c>
      <c r="AA13" s="7">
        <v>14326</v>
      </c>
    </row>
    <row r="14" spans="1:27" x14ac:dyDescent="0.25">
      <c r="A14" s="8">
        <v>40087</v>
      </c>
      <c r="B14" s="7">
        <v>549154</v>
      </c>
      <c r="C14" s="7">
        <v>5410</v>
      </c>
      <c r="D14" s="7">
        <v>2204</v>
      </c>
      <c r="E14" s="7">
        <v>107115</v>
      </c>
      <c r="F14" s="7">
        <v>21908</v>
      </c>
      <c r="G14" s="7">
        <v>6538</v>
      </c>
      <c r="H14" s="7">
        <v>3874</v>
      </c>
      <c r="I14" s="7">
        <v>2055</v>
      </c>
      <c r="J14" s="7">
        <v>2868</v>
      </c>
      <c r="K14" s="7">
        <v>4705</v>
      </c>
      <c r="L14" s="7">
        <v>10048</v>
      </c>
      <c r="M14" s="7">
        <v>7939</v>
      </c>
      <c r="N14" s="7">
        <v>151</v>
      </c>
      <c r="O14" s="7">
        <v>16536</v>
      </c>
      <c r="P14" s="7">
        <v>11783</v>
      </c>
      <c r="Q14" s="7">
        <v>6958</v>
      </c>
      <c r="R14" s="7">
        <v>20648</v>
      </c>
      <c r="S14" s="7">
        <v>17406</v>
      </c>
      <c r="T14" s="7">
        <v>53679</v>
      </c>
      <c r="U14" s="7">
        <v>39273</v>
      </c>
      <c r="V14" s="7">
        <v>15433</v>
      </c>
      <c r="W14" s="7">
        <v>3829</v>
      </c>
      <c r="X14" s="7">
        <v>228604</v>
      </c>
      <c r="Y14" s="7">
        <v>42021</v>
      </c>
      <c r="Z14" s="7">
        <v>54600</v>
      </c>
      <c r="AA14" s="7">
        <v>14687</v>
      </c>
    </row>
    <row r="15" spans="1:27" x14ac:dyDescent="0.25">
      <c r="A15" s="8">
        <v>40118</v>
      </c>
      <c r="B15" s="7">
        <v>575537</v>
      </c>
      <c r="C15" s="7">
        <v>6241</v>
      </c>
      <c r="D15" s="7">
        <v>3053</v>
      </c>
      <c r="E15" s="7">
        <v>121681</v>
      </c>
      <c r="F15" s="7">
        <v>23559</v>
      </c>
      <c r="G15" s="7">
        <v>6355</v>
      </c>
      <c r="H15" s="7">
        <v>4001</v>
      </c>
      <c r="I15" s="7">
        <v>2194</v>
      </c>
      <c r="J15" s="7">
        <v>4283</v>
      </c>
      <c r="K15" s="7">
        <v>4155</v>
      </c>
      <c r="L15" s="7">
        <v>15859</v>
      </c>
      <c r="M15" s="7">
        <v>8460</v>
      </c>
      <c r="N15" s="7">
        <v>166</v>
      </c>
      <c r="O15" s="7">
        <v>17840</v>
      </c>
      <c r="P15" s="7">
        <v>11880</v>
      </c>
      <c r="Q15" s="7">
        <v>7499</v>
      </c>
      <c r="R15" s="7">
        <v>23559</v>
      </c>
      <c r="S15" s="7">
        <v>20017</v>
      </c>
      <c r="T15" s="7">
        <v>56594</v>
      </c>
      <c r="U15" s="7">
        <v>40352</v>
      </c>
      <c r="V15" s="7">
        <v>17421</v>
      </c>
      <c r="W15" s="7">
        <v>6063</v>
      </c>
      <c r="X15" s="7">
        <v>234969</v>
      </c>
      <c r="Y15" s="7">
        <v>43191</v>
      </c>
      <c r="Z15" s="7">
        <v>49602</v>
      </c>
      <c r="AA15" s="7">
        <v>14781</v>
      </c>
    </row>
    <row r="16" spans="1:27" x14ac:dyDescent="0.25">
      <c r="A16" s="8">
        <v>40148</v>
      </c>
      <c r="B16" s="7">
        <v>607313</v>
      </c>
      <c r="C16" s="7">
        <v>6334</v>
      </c>
      <c r="D16" s="7">
        <v>3093</v>
      </c>
      <c r="E16" s="7">
        <v>130482</v>
      </c>
      <c r="F16" s="7">
        <v>24890</v>
      </c>
      <c r="G16" s="7">
        <v>6695</v>
      </c>
      <c r="H16" s="7">
        <v>4063</v>
      </c>
      <c r="I16" s="7">
        <v>2192</v>
      </c>
      <c r="J16" s="7">
        <v>4802</v>
      </c>
      <c r="K16" s="7">
        <v>4772</v>
      </c>
      <c r="L16" s="7">
        <v>13276</v>
      </c>
      <c r="M16" s="7">
        <v>11336</v>
      </c>
      <c r="N16" s="7">
        <v>196</v>
      </c>
      <c r="O16" s="7">
        <v>20247</v>
      </c>
      <c r="P16" s="7">
        <v>14424</v>
      </c>
      <c r="Q16" s="7">
        <v>14114</v>
      </c>
      <c r="R16" s="7">
        <v>25529</v>
      </c>
      <c r="S16" s="7">
        <v>21855</v>
      </c>
      <c r="T16" s="7">
        <v>58669</v>
      </c>
      <c r="U16" s="7">
        <v>41263</v>
      </c>
      <c r="V16" s="7">
        <v>18612</v>
      </c>
      <c r="W16" s="7">
        <v>6447</v>
      </c>
      <c r="X16" s="7">
        <v>242289</v>
      </c>
      <c r="Y16" s="7">
        <v>44540</v>
      </c>
      <c r="Z16" s="7">
        <v>52101</v>
      </c>
      <c r="AA16" s="7">
        <v>14645</v>
      </c>
    </row>
    <row r="17" spans="1:27" x14ac:dyDescent="0.25">
      <c r="A17" s="8">
        <v>40179</v>
      </c>
      <c r="B17" s="7">
        <v>601582</v>
      </c>
      <c r="C17" s="7">
        <v>5286</v>
      </c>
      <c r="D17" s="7">
        <v>2753</v>
      </c>
      <c r="E17" s="7">
        <v>122013</v>
      </c>
      <c r="F17" s="7">
        <v>23656</v>
      </c>
      <c r="G17" s="7">
        <v>6516</v>
      </c>
      <c r="H17" s="7">
        <v>3980</v>
      </c>
      <c r="I17" s="7">
        <v>2250</v>
      </c>
      <c r="J17" s="7">
        <v>4935</v>
      </c>
      <c r="K17" s="7">
        <v>4811</v>
      </c>
      <c r="L17" s="7">
        <v>14173</v>
      </c>
      <c r="M17" s="7">
        <v>8775</v>
      </c>
      <c r="N17" s="7">
        <v>265</v>
      </c>
      <c r="O17" s="7">
        <v>18835</v>
      </c>
      <c r="P17" s="7">
        <v>14584</v>
      </c>
      <c r="Q17" s="7">
        <v>14104</v>
      </c>
      <c r="R17" s="7">
        <v>26635</v>
      </c>
      <c r="S17" s="7">
        <v>23128</v>
      </c>
      <c r="T17" s="7">
        <v>58749</v>
      </c>
      <c r="U17" s="7">
        <v>41033</v>
      </c>
      <c r="V17" s="7">
        <v>18822</v>
      </c>
      <c r="W17" s="7">
        <v>5648</v>
      </c>
      <c r="X17" s="7">
        <v>238840</v>
      </c>
      <c r="Y17" s="7">
        <v>40643</v>
      </c>
      <c r="Z17" s="7">
        <v>62312</v>
      </c>
      <c r="AA17" s="7">
        <v>14178</v>
      </c>
    </row>
    <row r="18" spans="1:27" x14ac:dyDescent="0.25">
      <c r="A18" s="8">
        <v>40210</v>
      </c>
      <c r="B18" s="7">
        <v>595048</v>
      </c>
      <c r="C18" s="7">
        <v>3613</v>
      </c>
      <c r="D18" s="7">
        <v>1091</v>
      </c>
      <c r="E18" s="7">
        <v>133672</v>
      </c>
      <c r="F18" s="7">
        <v>25816</v>
      </c>
      <c r="G18" s="7">
        <v>6766</v>
      </c>
      <c r="H18" s="7">
        <v>4200</v>
      </c>
      <c r="I18" s="7">
        <v>3379</v>
      </c>
      <c r="J18" s="7">
        <v>4967</v>
      </c>
      <c r="K18" s="7">
        <v>5061</v>
      </c>
      <c r="L18" s="7">
        <v>16680</v>
      </c>
      <c r="M18" s="7">
        <v>7975</v>
      </c>
      <c r="N18" s="7">
        <v>470</v>
      </c>
      <c r="O18" s="7">
        <v>26378</v>
      </c>
      <c r="P18" s="7">
        <v>14566</v>
      </c>
      <c r="Q18" s="7">
        <v>14122</v>
      </c>
      <c r="R18" s="7">
        <v>27614</v>
      </c>
      <c r="S18" s="7">
        <v>24081</v>
      </c>
      <c r="T18" s="7">
        <v>59879</v>
      </c>
      <c r="U18" s="7">
        <v>41044</v>
      </c>
      <c r="V18" s="7">
        <v>19245</v>
      </c>
      <c r="W18" s="7">
        <v>5504</v>
      </c>
      <c r="X18" s="7">
        <v>230011</v>
      </c>
      <c r="Y18" s="7">
        <v>43858</v>
      </c>
      <c r="Z18" s="7">
        <v>49613</v>
      </c>
      <c r="AA18" s="7">
        <v>13421</v>
      </c>
    </row>
    <row r="19" spans="1:27" x14ac:dyDescent="0.25">
      <c r="A19" s="8">
        <v>40238</v>
      </c>
      <c r="B19" s="7">
        <v>609184</v>
      </c>
      <c r="C19" s="7">
        <v>4933</v>
      </c>
      <c r="D19" s="7">
        <v>2410</v>
      </c>
      <c r="E19" s="7">
        <v>130515</v>
      </c>
      <c r="F19" s="7">
        <v>28201</v>
      </c>
      <c r="G19" s="7">
        <v>7621</v>
      </c>
      <c r="H19" s="7">
        <v>4200</v>
      </c>
      <c r="I19" s="7">
        <v>3430</v>
      </c>
      <c r="J19" s="7">
        <v>3688</v>
      </c>
      <c r="K19" s="7">
        <v>5309</v>
      </c>
      <c r="L19" s="7">
        <v>17158</v>
      </c>
      <c r="M19" s="7">
        <v>8213</v>
      </c>
      <c r="N19" s="7">
        <v>372</v>
      </c>
      <c r="O19" s="7">
        <v>19586</v>
      </c>
      <c r="P19" s="7">
        <v>14554</v>
      </c>
      <c r="Q19" s="7">
        <v>14152</v>
      </c>
      <c r="R19" s="7">
        <v>28731</v>
      </c>
      <c r="S19" s="7">
        <v>25093</v>
      </c>
      <c r="T19" s="7">
        <v>61215</v>
      </c>
      <c r="U19" s="7">
        <v>42946</v>
      </c>
      <c r="V19" s="7">
        <v>19161</v>
      </c>
      <c r="W19" s="7">
        <v>5153</v>
      </c>
      <c r="X19" s="7">
        <v>239198</v>
      </c>
      <c r="Y19" s="7">
        <v>44874</v>
      </c>
      <c r="Z19" s="7">
        <v>52571</v>
      </c>
      <c r="AA19" s="7">
        <v>13834</v>
      </c>
    </row>
    <row r="20" spans="1:27" x14ac:dyDescent="0.25">
      <c r="A20" s="8">
        <v>40269</v>
      </c>
      <c r="B20" s="7">
        <v>623804</v>
      </c>
      <c r="C20" s="7">
        <v>3983</v>
      </c>
      <c r="D20" s="7">
        <v>1415</v>
      </c>
      <c r="E20" s="7">
        <v>132229</v>
      </c>
      <c r="F20" s="7">
        <v>28316</v>
      </c>
      <c r="G20" s="7">
        <v>7846</v>
      </c>
      <c r="H20" s="7">
        <v>4367</v>
      </c>
      <c r="I20" s="7">
        <v>3354</v>
      </c>
      <c r="J20" s="7">
        <v>3795</v>
      </c>
      <c r="K20" s="7">
        <v>5804</v>
      </c>
      <c r="L20" s="7">
        <v>14381</v>
      </c>
      <c r="M20" s="7">
        <v>8642</v>
      </c>
      <c r="N20" s="7">
        <v>375</v>
      </c>
      <c r="O20" s="7">
        <v>16795</v>
      </c>
      <c r="P20" s="7">
        <v>11550</v>
      </c>
      <c r="Q20" s="7">
        <v>14176</v>
      </c>
      <c r="R20" s="7">
        <v>30973</v>
      </c>
      <c r="S20" s="7">
        <v>27207</v>
      </c>
      <c r="T20" s="7">
        <v>66710</v>
      </c>
      <c r="U20" s="7">
        <v>44201</v>
      </c>
      <c r="V20" s="7">
        <v>18294</v>
      </c>
      <c r="W20" s="7">
        <v>4837</v>
      </c>
      <c r="X20" s="7">
        <v>239632</v>
      </c>
      <c r="Y20" s="7">
        <v>48512</v>
      </c>
      <c r="Z20" s="7">
        <v>55892</v>
      </c>
      <c r="AA20" s="7">
        <v>13403</v>
      </c>
    </row>
    <row r="21" spans="1:27" x14ac:dyDescent="0.25">
      <c r="A21" s="8">
        <v>40299</v>
      </c>
      <c r="B21" s="7">
        <v>656165</v>
      </c>
      <c r="C21" s="7">
        <v>4452</v>
      </c>
      <c r="D21" s="7">
        <v>1895</v>
      </c>
      <c r="E21" s="7">
        <v>141115</v>
      </c>
      <c r="F21" s="7">
        <v>28957</v>
      </c>
      <c r="G21" s="7">
        <v>7747</v>
      </c>
      <c r="H21" s="7">
        <v>4552</v>
      </c>
      <c r="I21" s="7">
        <v>3499</v>
      </c>
      <c r="J21" s="7">
        <v>4150</v>
      </c>
      <c r="K21" s="7">
        <v>6177</v>
      </c>
      <c r="L21" s="7">
        <v>14846</v>
      </c>
      <c r="M21" s="7">
        <v>12602</v>
      </c>
      <c r="N21" s="7">
        <v>369</v>
      </c>
      <c r="O21" s="7">
        <v>17015</v>
      </c>
      <c r="P21" s="7">
        <v>11784</v>
      </c>
      <c r="Q21" s="7">
        <v>14182</v>
      </c>
      <c r="R21" s="7">
        <v>33098</v>
      </c>
      <c r="S21" s="7">
        <v>29206</v>
      </c>
      <c r="T21" s="7">
        <v>67306</v>
      </c>
      <c r="U21" s="7">
        <v>44829</v>
      </c>
      <c r="V21" s="7">
        <v>21063</v>
      </c>
      <c r="W21" s="7">
        <v>7326</v>
      </c>
      <c r="X21" s="7">
        <v>246165</v>
      </c>
      <c r="Y21" s="7">
        <v>50415</v>
      </c>
      <c r="Z21" s="7">
        <v>65202</v>
      </c>
      <c r="AA21" s="7">
        <v>13167</v>
      </c>
    </row>
    <row r="22" spans="1:27" x14ac:dyDescent="0.25">
      <c r="A22" s="8">
        <v>40330</v>
      </c>
      <c r="B22" s="7">
        <v>675888</v>
      </c>
      <c r="C22" s="7">
        <v>4356</v>
      </c>
      <c r="D22" s="7">
        <v>1945</v>
      </c>
      <c r="E22" s="7">
        <v>147063</v>
      </c>
      <c r="F22" s="7">
        <v>32084</v>
      </c>
      <c r="G22" s="7">
        <v>8623</v>
      </c>
      <c r="H22" s="7">
        <v>4569</v>
      </c>
      <c r="I22" s="7">
        <v>4260</v>
      </c>
      <c r="J22" s="7">
        <v>4553</v>
      </c>
      <c r="K22" s="7">
        <v>6383</v>
      </c>
      <c r="L22" s="7">
        <v>14262</v>
      </c>
      <c r="M22" s="7">
        <v>12838</v>
      </c>
      <c r="N22" s="7">
        <v>475</v>
      </c>
      <c r="O22" s="7">
        <v>17051</v>
      </c>
      <c r="P22" s="7">
        <v>11759</v>
      </c>
      <c r="Q22" s="7">
        <v>14272</v>
      </c>
      <c r="R22" s="7">
        <v>35888</v>
      </c>
      <c r="S22" s="7">
        <v>31593</v>
      </c>
      <c r="T22" s="7">
        <v>74742</v>
      </c>
      <c r="U22" s="7">
        <v>51119</v>
      </c>
      <c r="V22" s="7">
        <v>20916</v>
      </c>
      <c r="W22" s="7">
        <v>7580</v>
      </c>
      <c r="X22" s="7">
        <v>246609</v>
      </c>
      <c r="Y22" s="7">
        <v>52317</v>
      </c>
      <c r="Z22" s="7">
        <v>66532</v>
      </c>
      <c r="AA22" s="7">
        <v>13193</v>
      </c>
    </row>
    <row r="23" spans="1:27" x14ac:dyDescent="0.25">
      <c r="A23" s="8">
        <v>40360</v>
      </c>
      <c r="B23" s="7">
        <v>675183</v>
      </c>
      <c r="C23" s="7">
        <v>4065</v>
      </c>
      <c r="D23" s="7">
        <v>1743</v>
      </c>
      <c r="E23" s="7">
        <v>142828</v>
      </c>
      <c r="F23" s="7">
        <v>29792</v>
      </c>
      <c r="G23" s="7">
        <v>9076</v>
      </c>
      <c r="H23" s="7">
        <v>4502</v>
      </c>
      <c r="I23" s="7">
        <v>4378</v>
      </c>
      <c r="J23" s="7">
        <v>3810</v>
      </c>
      <c r="K23" s="7">
        <v>8038</v>
      </c>
      <c r="L23" s="7">
        <v>12096</v>
      </c>
      <c r="M23" s="7">
        <v>10132</v>
      </c>
      <c r="N23" s="7">
        <v>478</v>
      </c>
      <c r="O23" s="7">
        <v>19491</v>
      </c>
      <c r="P23" s="7">
        <v>15091</v>
      </c>
      <c r="Q23" s="7">
        <v>14686</v>
      </c>
      <c r="R23" s="7">
        <v>39696</v>
      </c>
      <c r="S23" s="7">
        <v>35256</v>
      </c>
      <c r="T23" s="7">
        <v>77457</v>
      </c>
      <c r="U23" s="7">
        <v>52055</v>
      </c>
      <c r="V23" s="7">
        <v>20799</v>
      </c>
      <c r="W23" s="7">
        <v>7446</v>
      </c>
      <c r="X23" s="7">
        <v>246811</v>
      </c>
      <c r="Y23" s="7">
        <v>51445</v>
      </c>
      <c r="Z23" s="7">
        <v>64672</v>
      </c>
      <c r="AA23" s="7">
        <v>12724</v>
      </c>
    </row>
    <row r="24" spans="1:27" x14ac:dyDescent="0.25">
      <c r="A24" s="8">
        <v>40391</v>
      </c>
      <c r="B24" s="7">
        <v>680442</v>
      </c>
      <c r="C24" s="7">
        <v>3970</v>
      </c>
      <c r="D24" s="7">
        <v>1759</v>
      </c>
      <c r="E24" s="7">
        <v>142626</v>
      </c>
      <c r="F24" s="7">
        <v>31006</v>
      </c>
      <c r="G24" s="7">
        <v>10450</v>
      </c>
      <c r="H24" s="7">
        <v>4706</v>
      </c>
      <c r="I24" s="7">
        <v>4578</v>
      </c>
      <c r="J24" s="7">
        <v>3006</v>
      </c>
      <c r="K24" s="7">
        <v>6981</v>
      </c>
      <c r="L24" s="7">
        <v>11795</v>
      </c>
      <c r="M24" s="7">
        <v>9526</v>
      </c>
      <c r="N24" s="7">
        <v>445</v>
      </c>
      <c r="O24" s="7">
        <v>18134</v>
      </c>
      <c r="P24" s="7">
        <v>15107</v>
      </c>
      <c r="Q24" s="7">
        <v>14696</v>
      </c>
      <c r="R24" s="7">
        <v>40207</v>
      </c>
      <c r="S24" s="7">
        <v>35401</v>
      </c>
      <c r="T24" s="7">
        <v>80291</v>
      </c>
      <c r="U24" s="7">
        <v>53319</v>
      </c>
      <c r="V24" s="7">
        <v>21220</v>
      </c>
      <c r="W24" s="7">
        <v>7519</v>
      </c>
      <c r="X24" s="7">
        <v>250931</v>
      </c>
      <c r="Y24" s="7">
        <v>52625</v>
      </c>
      <c r="Z24" s="7">
        <v>61111</v>
      </c>
      <c r="AA24" s="7">
        <v>12765</v>
      </c>
    </row>
    <row r="25" spans="1:27" x14ac:dyDescent="0.25">
      <c r="A25" s="8">
        <v>40422</v>
      </c>
      <c r="B25" s="7">
        <v>682424</v>
      </c>
      <c r="C25" s="7">
        <v>3974</v>
      </c>
      <c r="D25" s="7">
        <v>1772</v>
      </c>
      <c r="E25" s="7">
        <v>142287</v>
      </c>
      <c r="F25" s="7">
        <v>31822</v>
      </c>
      <c r="G25" s="7">
        <v>10211</v>
      </c>
      <c r="H25" s="7">
        <v>4365</v>
      </c>
      <c r="I25" s="7">
        <v>4786</v>
      </c>
      <c r="J25" s="7">
        <v>2956</v>
      </c>
      <c r="K25" s="7">
        <v>6749</v>
      </c>
      <c r="L25" s="7">
        <v>12444</v>
      </c>
      <c r="M25" s="7">
        <v>10940</v>
      </c>
      <c r="N25" s="7">
        <v>467</v>
      </c>
      <c r="O25" s="7">
        <v>17819</v>
      </c>
      <c r="P25" s="7">
        <v>15128</v>
      </c>
      <c r="Q25" s="7">
        <v>14749</v>
      </c>
      <c r="R25" s="7">
        <v>41846</v>
      </c>
      <c r="S25" s="7">
        <v>37718</v>
      </c>
      <c r="T25" s="7">
        <v>77390</v>
      </c>
      <c r="U25" s="7">
        <v>49874</v>
      </c>
      <c r="V25" s="7">
        <v>21171</v>
      </c>
      <c r="W25" s="7">
        <v>7550</v>
      </c>
      <c r="X25" s="7">
        <v>256335</v>
      </c>
      <c r="Y25" s="7">
        <v>52534</v>
      </c>
      <c r="Z25" s="7">
        <v>59417</v>
      </c>
      <c r="AA25" s="7">
        <v>12721</v>
      </c>
    </row>
    <row r="26" spans="1:27" x14ac:dyDescent="0.25">
      <c r="A26" s="8">
        <v>40452</v>
      </c>
      <c r="B26" s="7">
        <v>685363</v>
      </c>
      <c r="C26" s="7">
        <v>4048</v>
      </c>
      <c r="D26" s="7">
        <v>1811</v>
      </c>
      <c r="E26" s="7">
        <v>145432</v>
      </c>
      <c r="F26" s="7">
        <v>32243</v>
      </c>
      <c r="G26" s="7">
        <v>9935</v>
      </c>
      <c r="H26" s="7">
        <v>4446</v>
      </c>
      <c r="I26" s="7">
        <v>4990</v>
      </c>
      <c r="J26" s="7">
        <v>3163</v>
      </c>
      <c r="K26" s="7">
        <v>7654</v>
      </c>
      <c r="L26" s="7">
        <v>13681</v>
      </c>
      <c r="M26" s="7">
        <v>11855</v>
      </c>
      <c r="N26" s="7">
        <v>563</v>
      </c>
      <c r="O26" s="7">
        <v>17706</v>
      </c>
      <c r="P26" s="7">
        <v>15154</v>
      </c>
      <c r="Q26" s="7">
        <v>14881</v>
      </c>
      <c r="R26" s="7">
        <v>42436</v>
      </c>
      <c r="S26" s="7">
        <v>38633</v>
      </c>
      <c r="T26" s="7">
        <v>80814</v>
      </c>
      <c r="U26" s="7">
        <v>52467</v>
      </c>
      <c r="V26" s="7">
        <v>22006</v>
      </c>
      <c r="W26" s="7">
        <v>7656</v>
      </c>
      <c r="X26" s="7">
        <v>252255</v>
      </c>
      <c r="Y26" s="7">
        <v>53291</v>
      </c>
      <c r="Z26" s="7">
        <v>57824</v>
      </c>
      <c r="AA26" s="7">
        <v>12376</v>
      </c>
    </row>
    <row r="27" spans="1:27" x14ac:dyDescent="0.25">
      <c r="A27" s="8">
        <v>40483</v>
      </c>
      <c r="B27" s="7">
        <v>682215</v>
      </c>
      <c r="C27" s="7">
        <v>4057</v>
      </c>
      <c r="D27" s="7">
        <v>1874</v>
      </c>
      <c r="E27" s="7">
        <v>147049</v>
      </c>
      <c r="F27" s="7">
        <v>32992</v>
      </c>
      <c r="G27" s="7">
        <v>9848</v>
      </c>
      <c r="H27" s="7">
        <v>4275</v>
      </c>
      <c r="I27" s="7">
        <v>5144</v>
      </c>
      <c r="J27" s="7">
        <v>3465</v>
      </c>
      <c r="K27" s="7">
        <v>8456</v>
      </c>
      <c r="L27" s="7">
        <v>13566</v>
      </c>
      <c r="M27" s="7">
        <v>11522</v>
      </c>
      <c r="N27" s="7">
        <v>345</v>
      </c>
      <c r="O27" s="7">
        <v>17358</v>
      </c>
      <c r="P27" s="7">
        <v>15125</v>
      </c>
      <c r="Q27" s="7">
        <v>14844</v>
      </c>
      <c r="R27" s="7">
        <v>45182</v>
      </c>
      <c r="S27" s="7">
        <v>41333</v>
      </c>
      <c r="T27" s="7">
        <v>81930</v>
      </c>
      <c r="U27" s="7">
        <v>54108</v>
      </c>
      <c r="V27" s="7">
        <v>21866</v>
      </c>
      <c r="W27" s="7">
        <v>7792</v>
      </c>
      <c r="X27" s="7">
        <v>244642</v>
      </c>
      <c r="Y27" s="7">
        <v>52914</v>
      </c>
      <c r="Z27" s="7">
        <v>57421</v>
      </c>
      <c r="AA27" s="7">
        <v>12310</v>
      </c>
    </row>
    <row r="28" spans="1:27" x14ac:dyDescent="0.25">
      <c r="A28" s="8">
        <v>40513</v>
      </c>
      <c r="B28" s="7">
        <v>664694</v>
      </c>
      <c r="C28" s="7">
        <v>3985</v>
      </c>
      <c r="D28" s="7">
        <v>1890</v>
      </c>
      <c r="E28" s="7">
        <v>151890</v>
      </c>
      <c r="F28" s="7">
        <v>34077</v>
      </c>
      <c r="G28" s="7">
        <v>9828</v>
      </c>
      <c r="H28" s="7">
        <v>4044</v>
      </c>
      <c r="I28" s="7">
        <v>4277</v>
      </c>
      <c r="J28" s="7">
        <v>3507</v>
      </c>
      <c r="K28" s="7">
        <v>8673</v>
      </c>
      <c r="L28" s="7">
        <v>13724</v>
      </c>
      <c r="M28" s="7">
        <v>11597</v>
      </c>
      <c r="N28" s="7">
        <v>354</v>
      </c>
      <c r="O28" s="7">
        <v>22179</v>
      </c>
      <c r="P28" s="7">
        <v>15063</v>
      </c>
      <c r="Q28" s="7">
        <v>15006</v>
      </c>
      <c r="R28" s="7">
        <v>46022</v>
      </c>
      <c r="S28" s="7">
        <v>41924</v>
      </c>
      <c r="T28" s="7">
        <v>75206</v>
      </c>
      <c r="U28" s="7">
        <v>49997</v>
      </c>
      <c r="V28" s="7">
        <v>20716</v>
      </c>
      <c r="W28" s="7">
        <v>6754</v>
      </c>
      <c r="X28" s="7">
        <v>243837</v>
      </c>
      <c r="Y28" s="7">
        <v>51340</v>
      </c>
      <c r="Z28" s="7">
        <v>44909</v>
      </c>
      <c r="AA28" s="7">
        <v>11783</v>
      </c>
    </row>
    <row r="29" spans="1:27" x14ac:dyDescent="0.25">
      <c r="A29" s="8">
        <v>40544</v>
      </c>
      <c r="B29" s="7">
        <v>639486</v>
      </c>
      <c r="C29" s="7">
        <v>3959</v>
      </c>
      <c r="D29" s="7">
        <v>1908</v>
      </c>
      <c r="E29" s="7">
        <v>151933</v>
      </c>
      <c r="F29" s="7">
        <v>34432</v>
      </c>
      <c r="G29" s="7">
        <v>10327</v>
      </c>
      <c r="H29" s="7">
        <v>4025</v>
      </c>
      <c r="I29" s="7">
        <v>4326</v>
      </c>
      <c r="J29" s="7">
        <v>4407</v>
      </c>
      <c r="K29" s="7">
        <v>11280</v>
      </c>
      <c r="L29" s="7">
        <v>13256</v>
      </c>
      <c r="M29" s="7">
        <v>14206</v>
      </c>
      <c r="N29" s="7">
        <v>290</v>
      </c>
      <c r="O29" s="7">
        <v>17559</v>
      </c>
      <c r="P29" s="7">
        <v>15038</v>
      </c>
      <c r="Q29" s="7">
        <v>13432</v>
      </c>
      <c r="R29" s="7">
        <v>44782</v>
      </c>
      <c r="S29" s="7">
        <v>40624</v>
      </c>
      <c r="T29" s="7">
        <v>66369</v>
      </c>
      <c r="U29" s="7">
        <v>44196</v>
      </c>
      <c r="V29" s="7">
        <v>20202</v>
      </c>
      <c r="W29" s="7">
        <v>6696</v>
      </c>
      <c r="X29" s="7">
        <v>239843</v>
      </c>
      <c r="Y29" s="7">
        <v>45297</v>
      </c>
      <c r="Z29" s="7">
        <v>41923</v>
      </c>
      <c r="AA29" s="7">
        <v>11746</v>
      </c>
    </row>
    <row r="30" spans="1:27" x14ac:dyDescent="0.25">
      <c r="A30" s="8">
        <v>40575</v>
      </c>
      <c r="B30" s="7">
        <v>643624</v>
      </c>
      <c r="C30" s="7">
        <v>3925</v>
      </c>
      <c r="D30" s="7">
        <v>1861</v>
      </c>
      <c r="E30" s="7">
        <v>153773</v>
      </c>
      <c r="F30" s="7">
        <v>37488</v>
      </c>
      <c r="G30" s="7">
        <v>9530</v>
      </c>
      <c r="H30" s="7">
        <v>4712</v>
      </c>
      <c r="I30" s="7">
        <v>4269</v>
      </c>
      <c r="J30" s="7">
        <v>4300</v>
      </c>
      <c r="K30" s="7">
        <v>11569</v>
      </c>
      <c r="L30" s="7">
        <v>13057</v>
      </c>
      <c r="M30" s="7">
        <v>13986</v>
      </c>
      <c r="N30" s="7">
        <v>281</v>
      </c>
      <c r="O30" s="7">
        <v>18064</v>
      </c>
      <c r="P30" s="7">
        <v>15252</v>
      </c>
      <c r="Q30" s="7">
        <v>13204</v>
      </c>
      <c r="R30" s="7">
        <v>45785</v>
      </c>
      <c r="S30" s="7">
        <v>41652</v>
      </c>
      <c r="T30" s="7">
        <v>70528</v>
      </c>
      <c r="U30" s="7">
        <v>47662</v>
      </c>
      <c r="V30" s="7">
        <v>17772</v>
      </c>
      <c r="W30" s="7">
        <v>4318</v>
      </c>
      <c r="X30" s="7">
        <v>244132</v>
      </c>
      <c r="Y30" s="7">
        <v>47039</v>
      </c>
      <c r="Z30" s="7">
        <v>37957</v>
      </c>
      <c r="AA30" s="7">
        <v>9509</v>
      </c>
    </row>
    <row r="31" spans="1:27" x14ac:dyDescent="0.25">
      <c r="A31" s="8">
        <v>40603</v>
      </c>
      <c r="B31" s="7">
        <v>651173</v>
      </c>
      <c r="C31" s="7">
        <v>4214</v>
      </c>
      <c r="D31" s="7">
        <v>2204</v>
      </c>
      <c r="E31" s="7">
        <v>156028</v>
      </c>
      <c r="F31" s="7">
        <v>36034</v>
      </c>
      <c r="G31" s="7">
        <v>9419</v>
      </c>
      <c r="H31" s="7">
        <v>4766</v>
      </c>
      <c r="I31" s="7">
        <v>4350</v>
      </c>
      <c r="J31" s="7">
        <v>4433</v>
      </c>
      <c r="K31" s="7">
        <v>12279</v>
      </c>
      <c r="L31" s="7">
        <v>14167</v>
      </c>
      <c r="M31" s="7">
        <v>18378</v>
      </c>
      <c r="N31" s="7">
        <v>274</v>
      </c>
      <c r="O31" s="7">
        <v>15143</v>
      </c>
      <c r="P31" s="7">
        <v>12374</v>
      </c>
      <c r="Q31" s="7">
        <v>13221</v>
      </c>
      <c r="R31" s="7">
        <v>47539</v>
      </c>
      <c r="S31" s="7">
        <v>43169</v>
      </c>
      <c r="T31" s="7">
        <v>70398</v>
      </c>
      <c r="U31" s="7">
        <v>49713</v>
      </c>
      <c r="V31" s="7">
        <v>17731</v>
      </c>
      <c r="W31" s="7">
        <v>4207</v>
      </c>
      <c r="X31" s="7">
        <v>246864</v>
      </c>
      <c r="Y31" s="7">
        <v>46825</v>
      </c>
      <c r="Z31" s="7">
        <v>38581</v>
      </c>
      <c r="AA31" s="7">
        <v>9772</v>
      </c>
    </row>
    <row r="32" spans="1:27" x14ac:dyDescent="0.25">
      <c r="A32" s="8">
        <v>40634</v>
      </c>
      <c r="B32" s="7">
        <v>638094</v>
      </c>
      <c r="C32" s="7">
        <v>3570</v>
      </c>
      <c r="D32" s="7">
        <v>1903</v>
      </c>
      <c r="E32" s="7">
        <v>145445</v>
      </c>
      <c r="F32" s="7">
        <v>35425</v>
      </c>
      <c r="G32" s="7">
        <v>9499</v>
      </c>
      <c r="H32" s="7">
        <v>4755</v>
      </c>
      <c r="I32" s="7">
        <v>4612</v>
      </c>
      <c r="J32" s="7">
        <v>3621</v>
      </c>
      <c r="K32" s="7">
        <v>14274</v>
      </c>
      <c r="L32" s="7">
        <v>12741</v>
      </c>
      <c r="M32" s="7">
        <v>13099</v>
      </c>
      <c r="N32" s="7">
        <v>253</v>
      </c>
      <c r="O32" s="7">
        <v>14445</v>
      </c>
      <c r="P32" s="7">
        <v>11951</v>
      </c>
      <c r="Q32" s="7">
        <v>13271</v>
      </c>
      <c r="R32" s="7">
        <v>48190</v>
      </c>
      <c r="S32" s="7">
        <v>44042</v>
      </c>
      <c r="T32" s="7">
        <v>72609</v>
      </c>
      <c r="U32" s="7">
        <v>53291</v>
      </c>
      <c r="V32" s="7">
        <v>17740</v>
      </c>
      <c r="W32" s="7">
        <v>4208</v>
      </c>
      <c r="X32" s="7">
        <v>243286</v>
      </c>
      <c r="Y32" s="7">
        <v>48299</v>
      </c>
      <c r="Z32" s="7">
        <v>36808</v>
      </c>
      <c r="AA32" s="7">
        <v>8876</v>
      </c>
    </row>
    <row r="33" spans="1:27" x14ac:dyDescent="0.25">
      <c r="A33" s="8">
        <v>40664</v>
      </c>
      <c r="B33" s="7">
        <v>652214</v>
      </c>
      <c r="C33" s="7">
        <v>3502</v>
      </c>
      <c r="D33" s="7">
        <v>1934</v>
      </c>
      <c r="E33" s="7">
        <v>146125</v>
      </c>
      <c r="F33" s="7">
        <v>36281</v>
      </c>
      <c r="G33" s="7">
        <v>8890</v>
      </c>
      <c r="H33" s="7">
        <v>4678</v>
      </c>
      <c r="I33" s="7">
        <v>4259</v>
      </c>
      <c r="J33" s="7">
        <v>3772</v>
      </c>
      <c r="K33" s="7">
        <v>13675</v>
      </c>
      <c r="L33" s="7">
        <v>12264</v>
      </c>
      <c r="M33" s="7">
        <v>13190</v>
      </c>
      <c r="N33" s="7">
        <v>401</v>
      </c>
      <c r="O33" s="7">
        <v>15901</v>
      </c>
      <c r="P33" s="7">
        <v>11958</v>
      </c>
      <c r="Q33" s="7">
        <v>13357</v>
      </c>
      <c r="R33" s="7">
        <v>59284</v>
      </c>
      <c r="S33" s="7">
        <v>54929</v>
      </c>
      <c r="T33" s="7">
        <v>72409</v>
      </c>
      <c r="U33" s="7">
        <v>53068</v>
      </c>
      <c r="V33" s="7">
        <v>17988</v>
      </c>
      <c r="W33" s="7">
        <v>4408</v>
      </c>
      <c r="X33" s="7">
        <v>245454</v>
      </c>
      <c r="Y33" s="7">
        <v>47218</v>
      </c>
      <c r="Z33" s="7">
        <v>37948</v>
      </c>
      <c r="AA33" s="7">
        <v>8929</v>
      </c>
    </row>
    <row r="34" spans="1:27" x14ac:dyDescent="0.25">
      <c r="A34" s="8">
        <v>40695</v>
      </c>
      <c r="B34" s="7">
        <v>673391</v>
      </c>
      <c r="C34" s="7">
        <v>3599</v>
      </c>
      <c r="D34" s="7">
        <v>2032</v>
      </c>
      <c r="E34" s="7">
        <v>147076</v>
      </c>
      <c r="F34" s="7">
        <v>36953</v>
      </c>
      <c r="G34" s="7">
        <v>9154</v>
      </c>
      <c r="H34" s="7">
        <v>4682</v>
      </c>
      <c r="I34" s="7">
        <v>4224</v>
      </c>
      <c r="J34" s="7">
        <v>3788</v>
      </c>
      <c r="K34" s="7">
        <v>13804</v>
      </c>
      <c r="L34" s="7">
        <v>12393</v>
      </c>
      <c r="M34" s="7">
        <v>13480</v>
      </c>
      <c r="N34" s="7">
        <v>728</v>
      </c>
      <c r="O34" s="7">
        <v>15974</v>
      </c>
      <c r="P34" s="7">
        <v>12012</v>
      </c>
      <c r="Q34" s="7">
        <v>13434</v>
      </c>
      <c r="R34" s="7">
        <v>68049</v>
      </c>
      <c r="S34" s="7">
        <v>62723</v>
      </c>
      <c r="T34" s="7">
        <v>72902</v>
      </c>
      <c r="U34" s="7">
        <v>53477</v>
      </c>
      <c r="V34" s="7">
        <v>18221</v>
      </c>
      <c r="W34" s="7">
        <v>4175</v>
      </c>
      <c r="X34" s="7">
        <v>248031</v>
      </c>
      <c r="Y34" s="7">
        <v>47342</v>
      </c>
      <c r="Z34" s="7">
        <v>45463</v>
      </c>
      <c r="AA34" s="7">
        <v>9274</v>
      </c>
    </row>
    <row r="35" spans="1:27" x14ac:dyDescent="0.25">
      <c r="A35" s="8">
        <v>40725</v>
      </c>
      <c r="B35" s="7">
        <v>692378</v>
      </c>
      <c r="C35" s="7">
        <v>3406</v>
      </c>
      <c r="D35" s="7">
        <v>2057</v>
      </c>
      <c r="E35" s="7">
        <v>151520</v>
      </c>
      <c r="F35" s="7">
        <v>41586</v>
      </c>
      <c r="G35" s="7">
        <v>8853</v>
      </c>
      <c r="H35" s="7">
        <v>4568</v>
      </c>
      <c r="I35" s="7">
        <v>4464</v>
      </c>
      <c r="J35" s="7">
        <v>4337</v>
      </c>
      <c r="K35" s="7">
        <v>14384</v>
      </c>
      <c r="L35" s="7">
        <v>13588</v>
      </c>
      <c r="M35" s="7">
        <v>14056</v>
      </c>
      <c r="N35" s="7">
        <v>1324</v>
      </c>
      <c r="O35" s="7">
        <v>13559</v>
      </c>
      <c r="P35" s="7">
        <v>9483</v>
      </c>
      <c r="Q35" s="7">
        <v>13318</v>
      </c>
      <c r="R35" s="7">
        <v>63379</v>
      </c>
      <c r="S35" s="7">
        <v>58071</v>
      </c>
      <c r="T35" s="7">
        <v>72380</v>
      </c>
      <c r="U35" s="7">
        <v>51636</v>
      </c>
      <c r="V35" s="7">
        <v>18299</v>
      </c>
      <c r="W35" s="7">
        <v>4214</v>
      </c>
      <c r="X35" s="7">
        <v>248782</v>
      </c>
      <c r="Y35" s="7">
        <v>49232</v>
      </c>
      <c r="Z35" s="7">
        <v>62852</v>
      </c>
      <c r="AA35" s="7">
        <v>9210</v>
      </c>
    </row>
    <row r="36" spans="1:27" x14ac:dyDescent="0.25">
      <c r="A36" s="8">
        <v>40756</v>
      </c>
      <c r="B36" s="7">
        <v>705705</v>
      </c>
      <c r="C36" s="7">
        <v>3816</v>
      </c>
      <c r="D36" s="7">
        <v>2003</v>
      </c>
      <c r="E36" s="7">
        <v>154753</v>
      </c>
      <c r="F36" s="7">
        <v>45032</v>
      </c>
      <c r="G36" s="7">
        <v>9057</v>
      </c>
      <c r="H36" s="7">
        <v>4828</v>
      </c>
      <c r="I36" s="7">
        <v>4523</v>
      </c>
      <c r="J36" s="7">
        <v>4261</v>
      </c>
      <c r="K36" s="7">
        <v>14658</v>
      </c>
      <c r="L36" s="7">
        <v>12019</v>
      </c>
      <c r="M36" s="7">
        <v>16839</v>
      </c>
      <c r="N36" s="7">
        <v>1377</v>
      </c>
      <c r="O36" s="7">
        <v>12333</v>
      </c>
      <c r="P36" s="7">
        <v>9076</v>
      </c>
      <c r="Q36" s="7">
        <v>13323</v>
      </c>
      <c r="R36" s="7">
        <v>65401</v>
      </c>
      <c r="S36" s="7">
        <v>60149</v>
      </c>
      <c r="T36" s="7">
        <v>75048</v>
      </c>
      <c r="U36" s="7">
        <v>55789</v>
      </c>
      <c r="V36" s="7">
        <v>19352</v>
      </c>
      <c r="W36" s="7">
        <v>4189</v>
      </c>
      <c r="X36" s="7">
        <v>247503</v>
      </c>
      <c r="Y36" s="7">
        <v>50458</v>
      </c>
      <c r="Z36" s="7">
        <v>66983</v>
      </c>
      <c r="AA36" s="7">
        <v>9068</v>
      </c>
    </row>
    <row r="37" spans="1:27" x14ac:dyDescent="0.25">
      <c r="A37" s="8">
        <v>40787</v>
      </c>
      <c r="B37" s="7">
        <v>732953</v>
      </c>
      <c r="C37" s="7">
        <v>3967</v>
      </c>
      <c r="D37" s="7">
        <v>2221</v>
      </c>
      <c r="E37" s="7">
        <v>158617</v>
      </c>
      <c r="F37" s="7">
        <v>44993</v>
      </c>
      <c r="G37" s="7">
        <v>10114</v>
      </c>
      <c r="H37" s="7">
        <v>5011</v>
      </c>
      <c r="I37" s="7">
        <v>4821</v>
      </c>
      <c r="J37" s="7">
        <v>4714</v>
      </c>
      <c r="K37" s="7">
        <v>14955</v>
      </c>
      <c r="L37" s="7">
        <v>12383</v>
      </c>
      <c r="M37" s="7">
        <v>17784</v>
      </c>
      <c r="N37" s="7">
        <v>1539</v>
      </c>
      <c r="O37" s="7">
        <v>11416</v>
      </c>
      <c r="P37" s="7">
        <v>8143</v>
      </c>
      <c r="Q37" s="7">
        <v>13201</v>
      </c>
      <c r="R37" s="7">
        <v>68084</v>
      </c>
      <c r="S37" s="7">
        <v>62516</v>
      </c>
      <c r="T37" s="7">
        <v>74510</v>
      </c>
      <c r="U37" s="7">
        <v>54501</v>
      </c>
      <c r="V37" s="7">
        <v>19703</v>
      </c>
      <c r="W37" s="7">
        <v>4164</v>
      </c>
      <c r="X37" s="7">
        <v>249028</v>
      </c>
      <c r="Y37" s="7">
        <v>65249</v>
      </c>
      <c r="Z37" s="7">
        <v>71543</v>
      </c>
      <c r="AA37" s="7">
        <v>9051</v>
      </c>
    </row>
    <row r="38" spans="1:27" x14ac:dyDescent="0.25">
      <c r="A38" s="8">
        <v>40817</v>
      </c>
      <c r="B38" s="7">
        <v>740361</v>
      </c>
      <c r="C38" s="7">
        <v>4022</v>
      </c>
      <c r="D38" s="7">
        <v>2264</v>
      </c>
      <c r="E38" s="7">
        <v>159855</v>
      </c>
      <c r="F38" s="7">
        <v>47096</v>
      </c>
      <c r="G38" s="7">
        <v>11030</v>
      </c>
      <c r="H38" s="7">
        <v>4993</v>
      </c>
      <c r="I38" s="7">
        <v>4834</v>
      </c>
      <c r="J38" s="7">
        <v>4676</v>
      </c>
      <c r="K38" s="7">
        <v>15059</v>
      </c>
      <c r="L38" s="7">
        <v>13541</v>
      </c>
      <c r="M38" s="7">
        <v>16114</v>
      </c>
      <c r="N38" s="7">
        <v>1563</v>
      </c>
      <c r="O38" s="7">
        <v>10136</v>
      </c>
      <c r="P38" s="7">
        <v>7037</v>
      </c>
      <c r="Q38" s="7">
        <v>13221</v>
      </c>
      <c r="R38" s="7">
        <v>66310</v>
      </c>
      <c r="S38" s="7">
        <v>60622</v>
      </c>
      <c r="T38" s="7">
        <v>71938</v>
      </c>
      <c r="U38" s="7">
        <v>52022</v>
      </c>
      <c r="V38" s="7">
        <v>19543</v>
      </c>
      <c r="W38" s="7">
        <v>4251</v>
      </c>
      <c r="X38" s="7">
        <v>254420</v>
      </c>
      <c r="Y38" s="7">
        <v>65882</v>
      </c>
      <c r="Z38" s="7">
        <v>76367</v>
      </c>
      <c r="AA38" s="7">
        <v>8803</v>
      </c>
    </row>
    <row r="39" spans="1:27" x14ac:dyDescent="0.25">
      <c r="A39" s="8">
        <v>40848</v>
      </c>
      <c r="B39" s="7">
        <v>747229</v>
      </c>
      <c r="C39" s="7">
        <v>4091</v>
      </c>
      <c r="D39" s="7">
        <v>2262</v>
      </c>
      <c r="E39" s="7">
        <v>161748</v>
      </c>
      <c r="F39" s="7">
        <v>47975</v>
      </c>
      <c r="G39" s="7">
        <v>10144</v>
      </c>
      <c r="H39" s="7">
        <v>4674</v>
      </c>
      <c r="I39" s="7">
        <v>4849</v>
      </c>
      <c r="J39" s="7">
        <v>4383</v>
      </c>
      <c r="K39" s="7">
        <v>14907</v>
      </c>
      <c r="L39" s="7">
        <v>14463</v>
      </c>
      <c r="M39" s="7">
        <v>16486</v>
      </c>
      <c r="N39" s="7">
        <v>1650</v>
      </c>
      <c r="O39" s="7">
        <v>10687</v>
      </c>
      <c r="P39" s="7">
        <v>6960</v>
      </c>
      <c r="Q39" s="7">
        <v>13253</v>
      </c>
      <c r="R39" s="7">
        <v>65677</v>
      </c>
      <c r="S39" s="7">
        <v>59980</v>
      </c>
      <c r="T39" s="7">
        <v>70920</v>
      </c>
      <c r="U39" s="7">
        <v>51353</v>
      </c>
      <c r="V39" s="7">
        <v>20723</v>
      </c>
      <c r="W39" s="7">
        <v>4751</v>
      </c>
      <c r="X39" s="7">
        <v>253949</v>
      </c>
      <c r="Y39" s="7">
        <v>67589</v>
      </c>
      <c r="Z39" s="7">
        <v>80563</v>
      </c>
      <c r="AA39" s="7">
        <v>8716</v>
      </c>
    </row>
    <row r="40" spans="1:27" x14ac:dyDescent="0.25">
      <c r="A40" s="8">
        <v>40878</v>
      </c>
      <c r="B40" s="7">
        <v>753756</v>
      </c>
      <c r="C40" s="7">
        <v>4091</v>
      </c>
      <c r="D40" s="7">
        <v>2259</v>
      </c>
      <c r="E40" s="7">
        <v>164107</v>
      </c>
      <c r="F40" s="7">
        <v>47701</v>
      </c>
      <c r="G40" s="7">
        <v>10496</v>
      </c>
      <c r="H40" s="7">
        <v>5072</v>
      </c>
      <c r="I40" s="7">
        <v>4760</v>
      </c>
      <c r="J40" s="7">
        <v>4394</v>
      </c>
      <c r="K40" s="7">
        <v>15189</v>
      </c>
      <c r="L40" s="7">
        <v>14009</v>
      </c>
      <c r="M40" s="7">
        <v>16515</v>
      </c>
      <c r="N40" s="7">
        <v>1650</v>
      </c>
      <c r="O40" s="7">
        <v>10260</v>
      </c>
      <c r="P40" s="7">
        <v>6904</v>
      </c>
      <c r="Q40" s="7">
        <v>13358</v>
      </c>
      <c r="R40" s="7">
        <v>66165</v>
      </c>
      <c r="S40" s="7">
        <v>58734</v>
      </c>
      <c r="T40" s="7">
        <v>72235</v>
      </c>
      <c r="U40" s="7">
        <v>51317</v>
      </c>
      <c r="V40" s="7">
        <v>22151</v>
      </c>
      <c r="W40" s="7">
        <v>4746</v>
      </c>
      <c r="X40" s="7">
        <v>251591</v>
      </c>
      <c r="Y40" s="7">
        <v>66025</v>
      </c>
      <c r="Z40" s="7">
        <v>85358</v>
      </c>
      <c r="AA40" s="7">
        <v>8675</v>
      </c>
    </row>
    <row r="41" spans="1:27" x14ac:dyDescent="0.25">
      <c r="A41" s="8">
        <v>40909</v>
      </c>
      <c r="B41" s="7">
        <v>733564</v>
      </c>
      <c r="C41" s="7">
        <v>3971</v>
      </c>
      <c r="D41" s="7">
        <v>2283</v>
      </c>
      <c r="E41" s="7">
        <v>159986</v>
      </c>
      <c r="F41" s="7">
        <v>47754</v>
      </c>
      <c r="G41" s="7">
        <v>10257</v>
      </c>
      <c r="H41" s="7">
        <v>5406</v>
      </c>
      <c r="I41" s="7">
        <v>4798</v>
      </c>
      <c r="J41" s="7">
        <v>4566</v>
      </c>
      <c r="K41" s="7">
        <v>14423</v>
      </c>
      <c r="L41" s="7">
        <v>13820</v>
      </c>
      <c r="M41" s="7">
        <v>16529</v>
      </c>
      <c r="N41" s="7">
        <v>1560</v>
      </c>
      <c r="O41" s="7">
        <v>8312</v>
      </c>
      <c r="P41" s="7">
        <v>4370</v>
      </c>
      <c r="Q41" s="7">
        <v>12997</v>
      </c>
      <c r="R41" s="7">
        <v>61468</v>
      </c>
      <c r="S41" s="7">
        <v>55575</v>
      </c>
      <c r="T41" s="7">
        <v>71900</v>
      </c>
      <c r="U41" s="7">
        <v>50888</v>
      </c>
      <c r="V41" s="7">
        <v>20175</v>
      </c>
      <c r="W41" s="7">
        <v>3298</v>
      </c>
      <c r="X41" s="7">
        <v>247959</v>
      </c>
      <c r="Y41" s="7">
        <v>65007</v>
      </c>
      <c r="Z41" s="7">
        <v>81827</v>
      </c>
      <c r="AA41" s="7">
        <v>8274</v>
      </c>
    </row>
    <row r="42" spans="1:27" x14ac:dyDescent="0.25">
      <c r="A42" s="8">
        <v>40940</v>
      </c>
      <c r="B42" s="7">
        <v>755554</v>
      </c>
      <c r="C42" s="7">
        <v>3797</v>
      </c>
      <c r="D42" s="7">
        <v>1870</v>
      </c>
      <c r="E42" s="7">
        <v>165844</v>
      </c>
      <c r="F42" s="7">
        <v>52866</v>
      </c>
      <c r="G42" s="7">
        <v>9893</v>
      </c>
      <c r="H42" s="7">
        <v>7002</v>
      </c>
      <c r="I42" s="7">
        <v>4792</v>
      </c>
      <c r="J42" s="7">
        <v>4265</v>
      </c>
      <c r="K42" s="7">
        <v>15095</v>
      </c>
      <c r="L42" s="7">
        <v>14533</v>
      </c>
      <c r="M42" s="7">
        <v>17583</v>
      </c>
      <c r="N42" s="7">
        <v>2314</v>
      </c>
      <c r="O42" s="7">
        <v>8240</v>
      </c>
      <c r="P42" s="7">
        <v>3857</v>
      </c>
      <c r="Q42" s="7">
        <v>13068</v>
      </c>
      <c r="R42" s="7">
        <v>63173</v>
      </c>
      <c r="S42" s="7">
        <v>59108</v>
      </c>
      <c r="T42" s="7">
        <v>73653</v>
      </c>
      <c r="U42" s="7">
        <v>55733</v>
      </c>
      <c r="V42" s="7">
        <v>21584</v>
      </c>
      <c r="W42" s="7">
        <v>2956</v>
      </c>
      <c r="X42" s="7">
        <v>248330</v>
      </c>
      <c r="Y42" s="7">
        <v>65529</v>
      </c>
      <c r="Z42" s="7">
        <v>91666</v>
      </c>
      <c r="AA42" s="7">
        <v>8910</v>
      </c>
    </row>
    <row r="43" spans="1:27" x14ac:dyDescent="0.25">
      <c r="A43" s="8">
        <v>40969</v>
      </c>
      <c r="B43" s="7">
        <v>776825</v>
      </c>
      <c r="C43" s="7">
        <v>3838</v>
      </c>
      <c r="D43" s="7">
        <v>1883</v>
      </c>
      <c r="E43" s="7">
        <v>167819</v>
      </c>
      <c r="F43" s="7">
        <v>54081</v>
      </c>
      <c r="G43" s="7">
        <v>11279</v>
      </c>
      <c r="H43" s="7">
        <v>7140</v>
      </c>
      <c r="I43" s="7">
        <v>4791</v>
      </c>
      <c r="J43" s="7">
        <v>4239</v>
      </c>
      <c r="K43" s="7">
        <v>14982</v>
      </c>
      <c r="L43" s="7">
        <v>14542</v>
      </c>
      <c r="M43" s="7">
        <v>17085</v>
      </c>
      <c r="N43" s="7">
        <v>1610</v>
      </c>
      <c r="O43" s="7">
        <v>8197</v>
      </c>
      <c r="P43" s="7">
        <v>4064</v>
      </c>
      <c r="Q43" s="7">
        <v>13106</v>
      </c>
      <c r="R43" s="7">
        <v>72443</v>
      </c>
      <c r="S43" s="7">
        <v>67028</v>
      </c>
      <c r="T43" s="7">
        <v>74850</v>
      </c>
      <c r="U43" s="7">
        <v>57034</v>
      </c>
      <c r="V43" s="7">
        <v>21479</v>
      </c>
      <c r="W43" s="7">
        <v>2943</v>
      </c>
      <c r="X43" s="7">
        <v>251126</v>
      </c>
      <c r="Y43" s="7">
        <v>67387</v>
      </c>
      <c r="Z43" s="7">
        <v>95853</v>
      </c>
      <c r="AA43" s="7">
        <v>8924</v>
      </c>
    </row>
    <row r="44" spans="1:27" x14ac:dyDescent="0.25">
      <c r="A44" s="8">
        <v>41000</v>
      </c>
      <c r="B44" s="7">
        <v>782954</v>
      </c>
      <c r="C44" s="7">
        <v>4097</v>
      </c>
      <c r="D44" s="7">
        <v>1985</v>
      </c>
      <c r="E44" s="7">
        <v>167592</v>
      </c>
      <c r="F44" s="7">
        <v>53399</v>
      </c>
      <c r="G44" s="7">
        <v>11523</v>
      </c>
      <c r="H44" s="7">
        <v>7975</v>
      </c>
      <c r="I44" s="7">
        <v>4780</v>
      </c>
      <c r="J44" s="7">
        <v>4311</v>
      </c>
      <c r="K44" s="7">
        <v>14543</v>
      </c>
      <c r="L44" s="7">
        <v>15378</v>
      </c>
      <c r="M44" s="7">
        <v>17245</v>
      </c>
      <c r="N44" s="7">
        <v>1609</v>
      </c>
      <c r="O44" s="7">
        <v>6930</v>
      </c>
      <c r="P44" s="7">
        <v>2775</v>
      </c>
      <c r="Q44" s="7">
        <v>13523</v>
      </c>
      <c r="R44" s="7">
        <v>69894</v>
      </c>
      <c r="S44" s="7">
        <v>64279</v>
      </c>
      <c r="T44" s="7">
        <v>76359</v>
      </c>
      <c r="U44" s="7">
        <v>58237</v>
      </c>
      <c r="V44" s="7">
        <v>20976</v>
      </c>
      <c r="W44" s="7">
        <v>2821</v>
      </c>
      <c r="X44" s="7">
        <v>251198</v>
      </c>
      <c r="Y44" s="7">
        <v>70034</v>
      </c>
      <c r="Z44" s="7">
        <v>100353</v>
      </c>
      <c r="AA44" s="7">
        <v>8928</v>
      </c>
    </row>
    <row r="45" spans="1:27" x14ac:dyDescent="0.25">
      <c r="A45" s="8">
        <v>41030</v>
      </c>
      <c r="B45" s="7">
        <v>807594</v>
      </c>
      <c r="C45" s="7">
        <v>4223</v>
      </c>
      <c r="D45" s="7">
        <v>1993</v>
      </c>
      <c r="E45" s="7">
        <v>171989</v>
      </c>
      <c r="F45" s="7">
        <v>56017</v>
      </c>
      <c r="G45" s="7">
        <v>11707</v>
      </c>
      <c r="H45" s="7">
        <v>8477</v>
      </c>
      <c r="I45" s="7">
        <v>4875</v>
      </c>
      <c r="J45" s="7">
        <v>4412</v>
      </c>
      <c r="K45" s="7">
        <v>14781</v>
      </c>
      <c r="L45" s="7">
        <v>15615</v>
      </c>
      <c r="M45" s="7">
        <v>17396</v>
      </c>
      <c r="N45" s="7">
        <v>1609</v>
      </c>
      <c r="O45" s="7">
        <v>7129</v>
      </c>
      <c r="P45" s="7">
        <v>2882</v>
      </c>
      <c r="Q45" s="7">
        <v>13618</v>
      </c>
      <c r="R45" s="7">
        <v>74403</v>
      </c>
      <c r="S45" s="7">
        <v>68979</v>
      </c>
      <c r="T45" s="7">
        <v>76719</v>
      </c>
      <c r="U45" s="7">
        <v>57962</v>
      </c>
      <c r="V45" s="7">
        <v>21572</v>
      </c>
      <c r="W45" s="7">
        <v>2845</v>
      </c>
      <c r="X45" s="7">
        <v>257249</v>
      </c>
      <c r="Y45" s="7">
        <v>71399</v>
      </c>
      <c r="Z45" s="7">
        <v>107467</v>
      </c>
      <c r="AA45" s="7">
        <v>8955</v>
      </c>
    </row>
    <row r="46" spans="1:27" x14ac:dyDescent="0.25">
      <c r="A46" s="8">
        <v>41061</v>
      </c>
      <c r="B46" s="7">
        <v>820188</v>
      </c>
      <c r="C46" s="7">
        <v>4670</v>
      </c>
      <c r="D46" s="7">
        <v>2204</v>
      </c>
      <c r="E46" s="7">
        <v>175250</v>
      </c>
      <c r="F46" s="7">
        <v>57418</v>
      </c>
      <c r="G46" s="7">
        <v>10607</v>
      </c>
      <c r="H46" s="7">
        <v>9023</v>
      </c>
      <c r="I46" s="7">
        <v>4889</v>
      </c>
      <c r="J46" s="7">
        <v>4479</v>
      </c>
      <c r="K46" s="7">
        <v>14721</v>
      </c>
      <c r="L46" s="7">
        <v>16227</v>
      </c>
      <c r="M46" s="7">
        <v>17200</v>
      </c>
      <c r="N46" s="7">
        <v>1594</v>
      </c>
      <c r="O46" s="7">
        <v>8586</v>
      </c>
      <c r="P46" s="7">
        <v>2992</v>
      </c>
      <c r="Q46" s="7">
        <v>13899</v>
      </c>
      <c r="R46" s="7">
        <v>77360</v>
      </c>
      <c r="S46" s="7">
        <v>71873</v>
      </c>
      <c r="T46" s="7">
        <v>76791</v>
      </c>
      <c r="U46" s="7">
        <v>57892</v>
      </c>
      <c r="V46" s="7">
        <v>21737</v>
      </c>
      <c r="W46" s="7">
        <v>2986</v>
      </c>
      <c r="X46" s="7">
        <v>258345</v>
      </c>
      <c r="Y46" s="7">
        <v>69946</v>
      </c>
      <c r="Z46" s="7">
        <v>112022</v>
      </c>
      <c r="AA46" s="7">
        <v>10168</v>
      </c>
    </row>
    <row r="47" spans="1:27" x14ac:dyDescent="0.25">
      <c r="A47" s="8">
        <v>41091</v>
      </c>
      <c r="B47" s="7">
        <v>797011</v>
      </c>
      <c r="C47" s="7">
        <v>4742</v>
      </c>
      <c r="D47" s="7">
        <v>2141</v>
      </c>
      <c r="E47" s="7">
        <v>174104</v>
      </c>
      <c r="F47" s="7">
        <v>56059</v>
      </c>
      <c r="G47" s="7">
        <v>10842</v>
      </c>
      <c r="H47" s="7">
        <v>9444</v>
      </c>
      <c r="I47" s="7">
        <v>4864</v>
      </c>
      <c r="J47" s="7">
        <v>4460</v>
      </c>
      <c r="K47" s="7">
        <v>14525</v>
      </c>
      <c r="L47" s="7">
        <v>19052</v>
      </c>
      <c r="M47" s="7">
        <v>16748</v>
      </c>
      <c r="N47" s="7">
        <v>1591</v>
      </c>
      <c r="O47" s="7">
        <v>7566</v>
      </c>
      <c r="P47" s="7">
        <v>1562</v>
      </c>
      <c r="Q47" s="7">
        <v>14141</v>
      </c>
      <c r="R47" s="7">
        <v>80746</v>
      </c>
      <c r="S47" s="7">
        <v>73902</v>
      </c>
      <c r="T47" s="7">
        <v>71881</v>
      </c>
      <c r="U47" s="7">
        <v>53077</v>
      </c>
      <c r="V47" s="7">
        <v>21992</v>
      </c>
      <c r="W47" s="7">
        <v>2740</v>
      </c>
      <c r="X47" s="7">
        <v>250503</v>
      </c>
      <c r="Y47" s="7">
        <v>65433</v>
      </c>
      <c r="Z47" s="7">
        <v>103596</v>
      </c>
      <c r="AA47" s="7">
        <v>9873</v>
      </c>
    </row>
    <row r="48" spans="1:27" x14ac:dyDescent="0.25">
      <c r="A48" s="8">
        <v>41122</v>
      </c>
      <c r="B48" s="7">
        <v>814168</v>
      </c>
      <c r="C48" s="7">
        <v>5189</v>
      </c>
      <c r="D48" s="7">
        <v>2603</v>
      </c>
      <c r="E48" s="7">
        <v>184006</v>
      </c>
      <c r="F48" s="7">
        <v>57417</v>
      </c>
      <c r="G48" s="7">
        <v>10723</v>
      </c>
      <c r="H48" s="7">
        <v>9839</v>
      </c>
      <c r="I48" s="7">
        <v>11559</v>
      </c>
      <c r="J48" s="7">
        <v>4919</v>
      </c>
      <c r="K48" s="7">
        <v>14894</v>
      </c>
      <c r="L48" s="7">
        <v>17871</v>
      </c>
      <c r="M48" s="7">
        <v>16099</v>
      </c>
      <c r="N48" s="7">
        <v>1567</v>
      </c>
      <c r="O48" s="7">
        <v>10113</v>
      </c>
      <c r="P48" s="7">
        <v>4117</v>
      </c>
      <c r="Q48" s="7">
        <v>14154</v>
      </c>
      <c r="R48" s="7">
        <v>82750</v>
      </c>
      <c r="S48" s="7">
        <v>76339</v>
      </c>
      <c r="T48" s="7">
        <v>72309</v>
      </c>
      <c r="U48" s="7">
        <v>53267</v>
      </c>
      <c r="V48" s="7">
        <v>22095</v>
      </c>
      <c r="W48" s="7">
        <v>2571</v>
      </c>
      <c r="X48" s="7">
        <v>251946</v>
      </c>
      <c r="Y48" s="7">
        <v>65638</v>
      </c>
      <c r="Z48" s="7">
        <v>106326</v>
      </c>
      <c r="AA48" s="7">
        <v>9755</v>
      </c>
    </row>
    <row r="49" spans="1:27" x14ac:dyDescent="0.25">
      <c r="A49" s="8">
        <v>41153</v>
      </c>
      <c r="B49" s="7">
        <v>832268</v>
      </c>
      <c r="C49" s="7">
        <v>5393</v>
      </c>
      <c r="D49" s="7">
        <v>2854</v>
      </c>
      <c r="E49" s="7">
        <v>189887</v>
      </c>
      <c r="F49" s="7">
        <v>62057</v>
      </c>
      <c r="G49" s="7">
        <v>11757</v>
      </c>
      <c r="H49" s="7">
        <v>9847</v>
      </c>
      <c r="I49" s="7">
        <v>11501</v>
      </c>
      <c r="J49" s="7">
        <v>4484</v>
      </c>
      <c r="K49" s="7">
        <v>14617</v>
      </c>
      <c r="L49" s="7">
        <v>19346</v>
      </c>
      <c r="M49" s="7">
        <v>16135</v>
      </c>
      <c r="N49" s="7">
        <v>1571</v>
      </c>
      <c r="O49" s="7">
        <v>10181</v>
      </c>
      <c r="P49" s="7">
        <v>4172</v>
      </c>
      <c r="Q49" s="7">
        <v>14105</v>
      </c>
      <c r="R49" s="7">
        <v>86517</v>
      </c>
      <c r="S49" s="7">
        <v>79634</v>
      </c>
      <c r="T49" s="7">
        <v>72582</v>
      </c>
      <c r="U49" s="7">
        <v>53833</v>
      </c>
      <c r="V49" s="7">
        <v>23363</v>
      </c>
      <c r="W49" s="7">
        <v>2160</v>
      </c>
      <c r="X49" s="7">
        <v>256328</v>
      </c>
      <c r="Y49" s="7">
        <v>67001</v>
      </c>
      <c r="Z49" s="7">
        <v>107467</v>
      </c>
      <c r="AA49" s="7">
        <v>9625</v>
      </c>
    </row>
    <row r="50" spans="1:27" x14ac:dyDescent="0.25">
      <c r="A50" s="8">
        <v>41183</v>
      </c>
      <c r="B50" s="7">
        <v>832005</v>
      </c>
      <c r="C50" s="7">
        <v>5375</v>
      </c>
      <c r="D50" s="7">
        <v>2912</v>
      </c>
      <c r="E50" s="7">
        <v>194414</v>
      </c>
      <c r="F50" s="7">
        <v>63532</v>
      </c>
      <c r="G50" s="7">
        <v>12899</v>
      </c>
      <c r="H50" s="7">
        <v>9315</v>
      </c>
      <c r="I50" s="7">
        <v>11475</v>
      </c>
      <c r="J50" s="7">
        <v>4492</v>
      </c>
      <c r="K50" s="7">
        <v>12278</v>
      </c>
      <c r="L50" s="7">
        <v>21499</v>
      </c>
      <c r="M50" s="7">
        <v>16045</v>
      </c>
      <c r="N50" s="7">
        <v>1567</v>
      </c>
      <c r="O50" s="7">
        <v>13474</v>
      </c>
      <c r="P50" s="7">
        <v>7147</v>
      </c>
      <c r="Q50" s="7">
        <v>13852</v>
      </c>
      <c r="R50" s="7">
        <v>86764</v>
      </c>
      <c r="S50" s="7">
        <v>79855</v>
      </c>
      <c r="T50" s="7">
        <v>71746</v>
      </c>
      <c r="U50" s="7">
        <v>53297</v>
      </c>
      <c r="V50" s="7">
        <v>22453</v>
      </c>
      <c r="W50" s="7">
        <v>2003</v>
      </c>
      <c r="X50" s="7">
        <v>249749</v>
      </c>
      <c r="Y50" s="7">
        <v>68919</v>
      </c>
      <c r="Z50" s="7">
        <v>109253</v>
      </c>
      <c r="AA50" s="7">
        <v>9480</v>
      </c>
    </row>
    <row r="51" spans="1:27" x14ac:dyDescent="0.25">
      <c r="A51" s="8">
        <v>41214</v>
      </c>
      <c r="B51" s="7">
        <v>849673</v>
      </c>
      <c r="C51" s="7">
        <v>5388</v>
      </c>
      <c r="D51" s="7">
        <v>3009</v>
      </c>
      <c r="E51" s="7">
        <v>197428</v>
      </c>
      <c r="F51" s="7">
        <v>66351</v>
      </c>
      <c r="G51" s="7">
        <v>13704</v>
      </c>
      <c r="H51" s="7">
        <v>9608</v>
      </c>
      <c r="I51" s="7">
        <v>11469</v>
      </c>
      <c r="J51" s="7">
        <v>4495</v>
      </c>
      <c r="K51" s="7">
        <v>12924</v>
      </c>
      <c r="L51" s="7">
        <v>20735</v>
      </c>
      <c r="M51" s="7">
        <v>16242</v>
      </c>
      <c r="N51" s="7">
        <v>1592</v>
      </c>
      <c r="O51" s="7">
        <v>13240</v>
      </c>
      <c r="P51" s="7">
        <v>7186</v>
      </c>
      <c r="Q51" s="7">
        <v>13910</v>
      </c>
      <c r="R51" s="7">
        <v>93452</v>
      </c>
      <c r="S51" s="7">
        <v>86193</v>
      </c>
      <c r="T51" s="7">
        <v>70693</v>
      </c>
      <c r="U51" s="7">
        <v>53331</v>
      </c>
      <c r="V51" s="7">
        <v>25907</v>
      </c>
      <c r="W51" s="7">
        <v>1925</v>
      </c>
      <c r="X51" s="7">
        <v>251534</v>
      </c>
      <c r="Y51" s="7">
        <v>69996</v>
      </c>
      <c r="Z51" s="7">
        <v>111605</v>
      </c>
      <c r="AA51" s="7">
        <v>9760</v>
      </c>
    </row>
    <row r="52" spans="1:27" x14ac:dyDescent="0.25">
      <c r="A52" s="8">
        <v>41244</v>
      </c>
      <c r="B52" s="7">
        <v>850579</v>
      </c>
      <c r="C52" s="7">
        <v>5524</v>
      </c>
      <c r="D52" s="7">
        <v>3036</v>
      </c>
      <c r="E52" s="7">
        <v>199903</v>
      </c>
      <c r="F52" s="7">
        <v>67910</v>
      </c>
      <c r="G52" s="7">
        <v>13813</v>
      </c>
      <c r="H52" s="7">
        <v>9946</v>
      </c>
      <c r="I52" s="7">
        <v>11517</v>
      </c>
      <c r="J52" s="7">
        <v>4485</v>
      </c>
      <c r="K52" s="7">
        <v>12936</v>
      </c>
      <c r="L52" s="7">
        <v>18996</v>
      </c>
      <c r="M52" s="7">
        <v>16904</v>
      </c>
      <c r="N52" s="7">
        <v>1798</v>
      </c>
      <c r="O52" s="7">
        <v>14821</v>
      </c>
      <c r="P52" s="7">
        <v>7160</v>
      </c>
      <c r="Q52" s="7">
        <v>13989</v>
      </c>
      <c r="R52" s="7">
        <v>93373</v>
      </c>
      <c r="S52" s="7">
        <v>86227</v>
      </c>
      <c r="T52" s="7">
        <v>70828</v>
      </c>
      <c r="U52" s="7">
        <v>52600</v>
      </c>
      <c r="V52" s="7">
        <v>26105</v>
      </c>
      <c r="W52" s="7">
        <v>2057</v>
      </c>
      <c r="X52" s="7">
        <v>251091</v>
      </c>
      <c r="Y52" s="7">
        <v>70223</v>
      </c>
      <c r="Z52" s="7">
        <v>110202</v>
      </c>
      <c r="AA52" s="7">
        <v>9341</v>
      </c>
    </row>
    <row r="53" spans="1:27" x14ac:dyDescent="0.25">
      <c r="A53" s="8">
        <v>41275</v>
      </c>
      <c r="B53" s="7">
        <v>819856</v>
      </c>
      <c r="C53" s="7">
        <v>6345</v>
      </c>
      <c r="D53" s="7">
        <v>3001</v>
      </c>
      <c r="E53" s="7">
        <v>194445</v>
      </c>
      <c r="F53" s="7">
        <v>66328</v>
      </c>
      <c r="G53" s="7">
        <v>12898</v>
      </c>
      <c r="H53" s="7">
        <v>9575</v>
      </c>
      <c r="I53" s="7">
        <v>10420</v>
      </c>
      <c r="J53" s="7">
        <v>4300</v>
      </c>
      <c r="K53" s="7">
        <v>10831</v>
      </c>
      <c r="L53" s="7">
        <v>18444</v>
      </c>
      <c r="M53" s="7">
        <v>16548</v>
      </c>
      <c r="N53" s="7">
        <v>1814</v>
      </c>
      <c r="O53" s="7">
        <v>14671</v>
      </c>
      <c r="P53" s="7">
        <v>7009</v>
      </c>
      <c r="Q53" s="7">
        <v>13941</v>
      </c>
      <c r="R53" s="7">
        <v>89039</v>
      </c>
      <c r="S53" s="7">
        <v>82107</v>
      </c>
      <c r="T53" s="7">
        <v>68241</v>
      </c>
      <c r="U53" s="7">
        <v>51882</v>
      </c>
      <c r="V53" s="7">
        <v>22347</v>
      </c>
      <c r="W53" s="7">
        <v>944</v>
      </c>
      <c r="X53" s="7">
        <v>238670</v>
      </c>
      <c r="Y53" s="7">
        <v>71729</v>
      </c>
      <c r="Z53" s="7">
        <v>106616</v>
      </c>
      <c r="AA53" s="7">
        <v>8483</v>
      </c>
    </row>
    <row r="54" spans="1:27" x14ac:dyDescent="0.25">
      <c r="A54" s="8">
        <v>41306</v>
      </c>
      <c r="B54" s="7">
        <v>834737</v>
      </c>
      <c r="C54" s="7">
        <v>8096</v>
      </c>
      <c r="D54" s="7">
        <v>4430</v>
      </c>
      <c r="E54" s="7">
        <v>199365</v>
      </c>
      <c r="F54" s="7">
        <v>69409</v>
      </c>
      <c r="G54" s="7">
        <v>12632</v>
      </c>
      <c r="H54" s="7">
        <v>7957</v>
      </c>
      <c r="I54" s="7">
        <v>10614</v>
      </c>
      <c r="J54" s="7">
        <v>5340</v>
      </c>
      <c r="K54" s="7">
        <v>11039</v>
      </c>
      <c r="L54" s="7">
        <v>18742</v>
      </c>
      <c r="M54" s="7">
        <v>16637</v>
      </c>
      <c r="N54" s="7">
        <v>1764</v>
      </c>
      <c r="O54" s="7">
        <v>14902</v>
      </c>
      <c r="P54" s="7">
        <v>7150</v>
      </c>
      <c r="Q54" s="7">
        <v>14700</v>
      </c>
      <c r="R54" s="7">
        <v>92518</v>
      </c>
      <c r="S54" s="7">
        <v>85698</v>
      </c>
      <c r="T54" s="7">
        <v>70739</v>
      </c>
      <c r="U54" s="7">
        <v>54900</v>
      </c>
      <c r="V54" s="7">
        <v>22913</v>
      </c>
      <c r="W54" s="7">
        <v>1027</v>
      </c>
      <c r="X54" s="7">
        <v>242143</v>
      </c>
      <c r="Y54" s="7">
        <v>67225</v>
      </c>
      <c r="Z54" s="7">
        <v>108106</v>
      </c>
      <c r="AA54" s="7">
        <v>8932</v>
      </c>
    </row>
    <row r="55" spans="1:27" x14ac:dyDescent="0.25">
      <c r="A55" s="8">
        <v>41334</v>
      </c>
      <c r="B55" s="7">
        <v>839312</v>
      </c>
      <c r="C55" s="7">
        <v>7309</v>
      </c>
      <c r="D55" s="7">
        <v>4466</v>
      </c>
      <c r="E55" s="7">
        <v>195970</v>
      </c>
      <c r="F55" s="7">
        <v>69385</v>
      </c>
      <c r="G55" s="7">
        <v>14579</v>
      </c>
      <c r="H55" s="7">
        <v>7997</v>
      </c>
      <c r="I55" s="7">
        <v>10780</v>
      </c>
      <c r="J55" s="7">
        <v>5312</v>
      </c>
      <c r="K55" s="7">
        <v>11001</v>
      </c>
      <c r="L55" s="7">
        <v>16343</v>
      </c>
      <c r="M55" s="7">
        <v>13181</v>
      </c>
      <c r="N55" s="7">
        <v>1772</v>
      </c>
      <c r="O55" s="7">
        <v>15025</v>
      </c>
      <c r="P55" s="7">
        <v>7162</v>
      </c>
      <c r="Q55" s="7">
        <v>15879</v>
      </c>
      <c r="R55" s="7">
        <v>94781</v>
      </c>
      <c r="S55" s="7">
        <v>88073</v>
      </c>
      <c r="T55" s="7">
        <v>72293</v>
      </c>
      <c r="U55" s="7">
        <v>55715</v>
      </c>
      <c r="V55" s="7">
        <v>23746</v>
      </c>
      <c r="W55" s="7">
        <v>1014</v>
      </c>
      <c r="X55" s="7">
        <v>244854</v>
      </c>
      <c r="Y55" s="7">
        <v>69245</v>
      </c>
      <c r="Z55" s="7">
        <v>106292</v>
      </c>
      <c r="AA55" s="7">
        <v>8943</v>
      </c>
    </row>
    <row r="56" spans="1:27" x14ac:dyDescent="0.25">
      <c r="A56" s="8">
        <v>41365</v>
      </c>
      <c r="B56" s="7">
        <v>842084</v>
      </c>
      <c r="C56" s="7">
        <v>7963</v>
      </c>
      <c r="D56" s="7">
        <v>5101</v>
      </c>
      <c r="E56" s="7">
        <v>196740</v>
      </c>
      <c r="F56" s="7">
        <v>69138</v>
      </c>
      <c r="G56" s="7">
        <v>16629</v>
      </c>
      <c r="H56" s="7">
        <v>8127</v>
      </c>
      <c r="I56" s="7">
        <v>10365</v>
      </c>
      <c r="J56" s="7">
        <v>4363</v>
      </c>
      <c r="K56" s="7">
        <v>10755</v>
      </c>
      <c r="L56" s="7">
        <v>16700</v>
      </c>
      <c r="M56" s="7">
        <v>13261</v>
      </c>
      <c r="N56" s="7">
        <v>1766</v>
      </c>
      <c r="O56" s="7">
        <v>15119</v>
      </c>
      <c r="P56" s="7">
        <v>7232</v>
      </c>
      <c r="Q56" s="7">
        <v>18365</v>
      </c>
      <c r="R56" s="7">
        <v>94730</v>
      </c>
      <c r="S56" s="7">
        <v>88804</v>
      </c>
      <c r="T56" s="7">
        <v>69825</v>
      </c>
      <c r="U56" s="7">
        <v>53325</v>
      </c>
      <c r="V56" s="7">
        <v>23982</v>
      </c>
      <c r="W56" s="7">
        <v>975</v>
      </c>
      <c r="X56" s="7">
        <v>242633</v>
      </c>
      <c r="Y56" s="7">
        <v>71840</v>
      </c>
      <c r="Z56" s="7">
        <v>106960</v>
      </c>
      <c r="AA56" s="7">
        <v>9046</v>
      </c>
    </row>
    <row r="57" spans="1:27" x14ac:dyDescent="0.25">
      <c r="A57" s="8">
        <v>41395</v>
      </c>
      <c r="B57" s="7">
        <v>855581</v>
      </c>
      <c r="C57" s="7">
        <v>7949</v>
      </c>
      <c r="D57" s="7">
        <v>5092</v>
      </c>
      <c r="E57" s="7">
        <v>201245</v>
      </c>
      <c r="F57" s="7">
        <v>69821</v>
      </c>
      <c r="G57" s="7">
        <v>17452</v>
      </c>
      <c r="H57" s="7">
        <v>9025</v>
      </c>
      <c r="I57" s="7">
        <v>10360</v>
      </c>
      <c r="J57" s="7">
        <v>5859</v>
      </c>
      <c r="K57" s="7">
        <v>10987</v>
      </c>
      <c r="L57" s="7">
        <v>17036</v>
      </c>
      <c r="M57" s="7">
        <v>13393</v>
      </c>
      <c r="N57" s="7">
        <v>1807</v>
      </c>
      <c r="O57" s="7">
        <v>15249</v>
      </c>
      <c r="P57" s="7">
        <v>7300</v>
      </c>
      <c r="Q57" s="7">
        <v>18297</v>
      </c>
      <c r="R57" s="7">
        <v>96622</v>
      </c>
      <c r="S57" s="7">
        <v>90481</v>
      </c>
      <c r="T57" s="7">
        <v>73379</v>
      </c>
      <c r="U57" s="7">
        <v>55827</v>
      </c>
      <c r="V57" s="7">
        <v>23917</v>
      </c>
      <c r="W57" s="7">
        <v>1066</v>
      </c>
      <c r="X57" s="7">
        <v>243919</v>
      </c>
      <c r="Y57" s="7">
        <v>73572</v>
      </c>
      <c r="Z57" s="7">
        <v>107113</v>
      </c>
      <c r="AA57" s="7">
        <v>9568</v>
      </c>
    </row>
    <row r="58" spans="1:27" x14ac:dyDescent="0.25">
      <c r="A58" s="8">
        <v>41426</v>
      </c>
      <c r="B58" s="7">
        <v>863799</v>
      </c>
      <c r="C58" s="7">
        <v>7992</v>
      </c>
      <c r="D58" s="7">
        <v>4982</v>
      </c>
      <c r="E58" s="7">
        <v>204430</v>
      </c>
      <c r="F58" s="7">
        <v>72215</v>
      </c>
      <c r="G58" s="7">
        <v>17275</v>
      </c>
      <c r="H58" s="7">
        <v>9564</v>
      </c>
      <c r="I58" s="7">
        <v>10421</v>
      </c>
      <c r="J58" s="7">
        <v>5945</v>
      </c>
      <c r="K58" s="7">
        <v>11220</v>
      </c>
      <c r="L58" s="7">
        <v>17548</v>
      </c>
      <c r="M58" s="7">
        <v>13393</v>
      </c>
      <c r="N58" s="7">
        <v>1857</v>
      </c>
      <c r="O58" s="7">
        <v>16159</v>
      </c>
      <c r="P58" s="7">
        <v>8107</v>
      </c>
      <c r="Q58" s="7">
        <v>18284</v>
      </c>
      <c r="R58" s="7">
        <v>98458</v>
      </c>
      <c r="S58" s="7">
        <v>92407</v>
      </c>
      <c r="T58" s="7">
        <v>74887</v>
      </c>
      <c r="U58" s="7">
        <v>56230</v>
      </c>
      <c r="V58" s="7">
        <v>24406</v>
      </c>
      <c r="W58" s="7">
        <v>1165</v>
      </c>
      <c r="X58" s="7">
        <v>245476</v>
      </c>
      <c r="Y58" s="7">
        <v>72904</v>
      </c>
      <c r="Z58" s="7">
        <v>107274</v>
      </c>
      <c r="AA58" s="7">
        <v>9688</v>
      </c>
    </row>
    <row r="59" spans="1:27" x14ac:dyDescent="0.25">
      <c r="A59" s="8">
        <v>41456</v>
      </c>
      <c r="B59" s="7">
        <v>833997</v>
      </c>
      <c r="C59" s="7">
        <v>7415</v>
      </c>
      <c r="D59" s="7">
        <v>4714</v>
      </c>
      <c r="E59" s="7">
        <v>192027</v>
      </c>
      <c r="F59" s="7">
        <v>66687</v>
      </c>
      <c r="G59" s="7">
        <v>15475</v>
      </c>
      <c r="H59" s="7">
        <v>9278</v>
      </c>
      <c r="I59" s="7">
        <v>9976</v>
      </c>
      <c r="J59" s="7">
        <v>5935</v>
      </c>
      <c r="K59" s="7">
        <v>11544</v>
      </c>
      <c r="L59" s="7">
        <v>15625</v>
      </c>
      <c r="M59" s="7">
        <v>12100</v>
      </c>
      <c r="N59" s="7">
        <v>1751</v>
      </c>
      <c r="O59" s="7">
        <v>15599</v>
      </c>
      <c r="P59" s="7">
        <v>8038</v>
      </c>
      <c r="Q59" s="7">
        <v>18318</v>
      </c>
      <c r="R59" s="7">
        <v>88046</v>
      </c>
      <c r="S59" s="7">
        <v>83571</v>
      </c>
      <c r="T59" s="7">
        <v>76444</v>
      </c>
      <c r="U59" s="7">
        <v>57933</v>
      </c>
      <c r="V59" s="7">
        <v>24284</v>
      </c>
      <c r="W59" s="7">
        <v>949</v>
      </c>
      <c r="X59" s="7">
        <v>237719</v>
      </c>
      <c r="Y59" s="7">
        <v>76879</v>
      </c>
      <c r="Z59" s="7">
        <v>103718</v>
      </c>
      <c r="AA59" s="7">
        <v>9147</v>
      </c>
    </row>
    <row r="60" spans="1:27" x14ac:dyDescent="0.25">
      <c r="A60" s="8">
        <v>41487</v>
      </c>
      <c r="B60" s="7">
        <v>855970</v>
      </c>
      <c r="C60" s="7">
        <v>7418</v>
      </c>
      <c r="D60" s="7">
        <v>4676</v>
      </c>
      <c r="E60" s="7">
        <v>194245</v>
      </c>
      <c r="F60" s="7">
        <v>66830</v>
      </c>
      <c r="G60" s="7">
        <v>15593</v>
      </c>
      <c r="H60" s="7">
        <v>9598</v>
      </c>
      <c r="I60" s="7">
        <v>9767</v>
      </c>
      <c r="J60" s="7">
        <v>6057</v>
      </c>
      <c r="K60" s="7">
        <v>12142</v>
      </c>
      <c r="L60" s="7">
        <v>15808</v>
      </c>
      <c r="M60" s="7">
        <v>12156</v>
      </c>
      <c r="N60" s="7">
        <v>1846</v>
      </c>
      <c r="O60" s="7">
        <v>15725</v>
      </c>
      <c r="P60" s="7">
        <v>8179</v>
      </c>
      <c r="Q60" s="7">
        <v>22998</v>
      </c>
      <c r="R60" s="7">
        <v>92027</v>
      </c>
      <c r="S60" s="7">
        <v>87062</v>
      </c>
      <c r="T60" s="7">
        <v>79165</v>
      </c>
      <c r="U60" s="7">
        <v>61584</v>
      </c>
      <c r="V60" s="7">
        <v>24575</v>
      </c>
      <c r="W60" s="7">
        <v>888</v>
      </c>
      <c r="X60" s="7">
        <v>243876</v>
      </c>
      <c r="Y60" s="7">
        <v>78233</v>
      </c>
      <c r="Z60" s="7">
        <v>103890</v>
      </c>
      <c r="AA60" s="7">
        <v>9543</v>
      </c>
    </row>
    <row r="61" spans="1:27" x14ac:dyDescent="0.25">
      <c r="A61" s="8">
        <v>41518</v>
      </c>
      <c r="B61" s="7">
        <v>850252</v>
      </c>
      <c r="C61" s="7">
        <v>7305</v>
      </c>
      <c r="D61" s="7">
        <v>4543</v>
      </c>
      <c r="E61" s="7">
        <v>188857</v>
      </c>
      <c r="F61" s="7">
        <v>63100</v>
      </c>
      <c r="G61" s="7">
        <v>16209</v>
      </c>
      <c r="H61" s="7">
        <v>9603</v>
      </c>
      <c r="I61" s="7">
        <v>9750</v>
      </c>
      <c r="J61" s="7">
        <v>6140</v>
      </c>
      <c r="K61" s="7">
        <v>12610</v>
      </c>
      <c r="L61" s="7">
        <v>14585</v>
      </c>
      <c r="M61" s="7">
        <v>12223</v>
      </c>
      <c r="N61" s="7">
        <v>1873</v>
      </c>
      <c r="O61" s="7">
        <v>13405</v>
      </c>
      <c r="P61" s="7">
        <v>7982</v>
      </c>
      <c r="Q61" s="7">
        <v>23431</v>
      </c>
      <c r="R61" s="7">
        <v>96395</v>
      </c>
      <c r="S61" s="7">
        <v>90770</v>
      </c>
      <c r="T61" s="7">
        <v>78220</v>
      </c>
      <c r="U61" s="7">
        <v>60891</v>
      </c>
      <c r="V61" s="7">
        <v>24891</v>
      </c>
      <c r="W61" s="7">
        <v>919</v>
      </c>
      <c r="X61" s="7">
        <v>244821</v>
      </c>
      <c r="Y61" s="7">
        <v>71494</v>
      </c>
      <c r="Z61" s="7">
        <v>105284</v>
      </c>
      <c r="AA61" s="7">
        <v>9554</v>
      </c>
    </row>
    <row r="62" spans="1:27" x14ac:dyDescent="0.25">
      <c r="A62" s="8">
        <v>41548</v>
      </c>
      <c r="B62" s="7">
        <v>855971</v>
      </c>
      <c r="C62" s="7">
        <v>7484</v>
      </c>
      <c r="D62" s="7">
        <v>4643</v>
      </c>
      <c r="E62" s="7">
        <v>189577</v>
      </c>
      <c r="F62" s="7">
        <v>63415</v>
      </c>
      <c r="G62" s="7">
        <v>15855</v>
      </c>
      <c r="H62" s="7">
        <v>11871</v>
      </c>
      <c r="I62" s="7">
        <v>9792</v>
      </c>
      <c r="J62" s="7">
        <v>6194</v>
      </c>
      <c r="K62" s="7">
        <v>12597</v>
      </c>
      <c r="L62" s="7">
        <v>14657</v>
      </c>
      <c r="M62" s="7">
        <v>12484</v>
      </c>
      <c r="N62" s="7">
        <v>1904</v>
      </c>
      <c r="O62" s="7">
        <v>12770</v>
      </c>
      <c r="P62" s="7">
        <v>8034</v>
      </c>
      <c r="Q62" s="7">
        <v>23251</v>
      </c>
      <c r="R62" s="7">
        <v>97309</v>
      </c>
      <c r="S62" s="7">
        <v>93076</v>
      </c>
      <c r="T62" s="7">
        <v>79305</v>
      </c>
      <c r="U62" s="7">
        <v>61280</v>
      </c>
      <c r="V62" s="7">
        <v>25442</v>
      </c>
      <c r="W62" s="7">
        <v>974</v>
      </c>
      <c r="X62" s="7">
        <v>244651</v>
      </c>
      <c r="Y62" s="7">
        <v>72355</v>
      </c>
      <c r="Z62" s="7">
        <v>107309</v>
      </c>
      <c r="AA62" s="7">
        <v>9288</v>
      </c>
    </row>
    <row r="63" spans="1:27" x14ac:dyDescent="0.25">
      <c r="A63" s="8">
        <v>41579</v>
      </c>
      <c r="B63" s="7">
        <v>880157</v>
      </c>
      <c r="C63" s="7">
        <v>7486</v>
      </c>
      <c r="D63" s="7">
        <v>4395</v>
      </c>
      <c r="E63" s="7">
        <v>196190</v>
      </c>
      <c r="F63" s="7">
        <v>63342</v>
      </c>
      <c r="G63" s="7">
        <v>16474</v>
      </c>
      <c r="H63" s="7">
        <v>11550</v>
      </c>
      <c r="I63" s="7">
        <v>9729</v>
      </c>
      <c r="J63" s="7">
        <v>6220</v>
      </c>
      <c r="K63" s="7">
        <v>12856</v>
      </c>
      <c r="L63" s="7">
        <v>20641</v>
      </c>
      <c r="M63" s="7">
        <v>12560</v>
      </c>
      <c r="N63" s="7">
        <v>1889</v>
      </c>
      <c r="O63" s="7">
        <v>12723</v>
      </c>
      <c r="P63" s="7">
        <v>8011</v>
      </c>
      <c r="Q63" s="7">
        <v>24573</v>
      </c>
      <c r="R63" s="7">
        <v>99546</v>
      </c>
      <c r="S63" s="7">
        <v>94645</v>
      </c>
      <c r="T63" s="7">
        <v>79932</v>
      </c>
      <c r="U63" s="7">
        <v>61791</v>
      </c>
      <c r="V63" s="7">
        <v>24563</v>
      </c>
      <c r="W63" s="7">
        <v>967</v>
      </c>
      <c r="X63" s="7">
        <v>250941</v>
      </c>
      <c r="Y63" s="7">
        <v>74714</v>
      </c>
      <c r="Z63" s="7">
        <v>112678</v>
      </c>
      <c r="AA63" s="7">
        <v>9534</v>
      </c>
    </row>
    <row r="64" spans="1:27" x14ac:dyDescent="0.25">
      <c r="A64" s="8">
        <v>41609</v>
      </c>
      <c r="B64" s="7">
        <v>883538</v>
      </c>
      <c r="C64" s="7">
        <v>7689</v>
      </c>
      <c r="D64" s="7">
        <v>4736</v>
      </c>
      <c r="E64" s="7">
        <v>200664</v>
      </c>
      <c r="F64" s="7">
        <v>68596</v>
      </c>
      <c r="G64" s="7">
        <v>16283</v>
      </c>
      <c r="H64" s="7">
        <v>11843</v>
      </c>
      <c r="I64" s="7">
        <v>9295</v>
      </c>
      <c r="J64" s="7">
        <v>6272</v>
      </c>
      <c r="K64" s="7">
        <v>11238</v>
      </c>
      <c r="L64" s="7">
        <v>20835</v>
      </c>
      <c r="M64" s="7">
        <v>12592</v>
      </c>
      <c r="N64" s="7">
        <v>1960</v>
      </c>
      <c r="O64" s="7">
        <v>13646</v>
      </c>
      <c r="P64" s="7">
        <v>9066</v>
      </c>
      <c r="Q64" s="7">
        <v>26772</v>
      </c>
      <c r="R64" s="7">
        <v>99943</v>
      </c>
      <c r="S64" s="7">
        <v>95020</v>
      </c>
      <c r="T64" s="7">
        <v>84102</v>
      </c>
      <c r="U64" s="7">
        <v>62662</v>
      </c>
      <c r="V64" s="7">
        <v>24882</v>
      </c>
      <c r="W64" s="7">
        <v>973</v>
      </c>
      <c r="X64" s="7">
        <v>244654</v>
      </c>
      <c r="Y64" s="7">
        <v>75675</v>
      </c>
      <c r="Z64" s="7">
        <v>110162</v>
      </c>
      <c r="AA64" s="7">
        <v>8995</v>
      </c>
    </row>
    <row r="65" spans="1:27" x14ac:dyDescent="0.25">
      <c r="A65" s="8">
        <v>41640</v>
      </c>
      <c r="B65" s="7">
        <v>861362</v>
      </c>
      <c r="C65" s="7">
        <v>6370</v>
      </c>
      <c r="D65" s="7">
        <v>3955</v>
      </c>
      <c r="E65" s="7">
        <v>195212</v>
      </c>
      <c r="F65" s="7">
        <v>62382</v>
      </c>
      <c r="G65" s="7">
        <v>15278</v>
      </c>
      <c r="H65" s="7">
        <v>11244</v>
      </c>
      <c r="I65" s="7">
        <v>11410</v>
      </c>
      <c r="J65" s="7">
        <v>4438</v>
      </c>
      <c r="K65" s="7">
        <v>12816</v>
      </c>
      <c r="L65" s="7">
        <v>24699</v>
      </c>
      <c r="M65" s="7">
        <v>12258</v>
      </c>
      <c r="N65" s="7">
        <v>1865</v>
      </c>
      <c r="O65" s="7">
        <v>12487</v>
      </c>
      <c r="P65" s="7">
        <v>8927</v>
      </c>
      <c r="Q65" s="7">
        <v>29544</v>
      </c>
      <c r="R65" s="7">
        <v>89880</v>
      </c>
      <c r="S65" s="7">
        <v>84582</v>
      </c>
      <c r="T65" s="7">
        <v>83438</v>
      </c>
      <c r="U65" s="7">
        <v>61736</v>
      </c>
      <c r="V65" s="7">
        <v>24508</v>
      </c>
      <c r="W65" s="7">
        <v>860</v>
      </c>
      <c r="X65" s="7">
        <v>245075</v>
      </c>
      <c r="Y65" s="7">
        <v>74832</v>
      </c>
      <c r="Z65" s="7">
        <v>103958</v>
      </c>
      <c r="AA65" s="7">
        <v>8545</v>
      </c>
    </row>
    <row r="66" spans="1:27" x14ac:dyDescent="0.25">
      <c r="A66" s="8">
        <v>41671</v>
      </c>
      <c r="B66" s="7">
        <v>871268</v>
      </c>
      <c r="C66" s="7">
        <v>6956</v>
      </c>
      <c r="D66" s="7">
        <v>4138</v>
      </c>
      <c r="E66" s="7">
        <v>193193</v>
      </c>
      <c r="F66" s="7">
        <v>57604</v>
      </c>
      <c r="G66" s="7">
        <v>15654</v>
      </c>
      <c r="H66" s="7">
        <v>11153</v>
      </c>
      <c r="I66" s="7">
        <v>11485</v>
      </c>
      <c r="J66" s="7">
        <v>4345</v>
      </c>
      <c r="K66" s="7">
        <v>13371</v>
      </c>
      <c r="L66" s="7">
        <v>25394</v>
      </c>
      <c r="M66" s="7">
        <v>12506</v>
      </c>
      <c r="N66" s="7">
        <v>1868</v>
      </c>
      <c r="O66" s="7">
        <v>12698</v>
      </c>
      <c r="P66" s="7">
        <v>9071</v>
      </c>
      <c r="Q66" s="7">
        <v>30548</v>
      </c>
      <c r="R66" s="7">
        <v>95676</v>
      </c>
      <c r="S66" s="7">
        <v>90933</v>
      </c>
      <c r="T66" s="7">
        <v>84937</v>
      </c>
      <c r="U66" s="7">
        <v>59798</v>
      </c>
      <c r="V66" s="7">
        <v>24157</v>
      </c>
      <c r="W66" s="7">
        <v>889</v>
      </c>
      <c r="X66" s="7">
        <v>229266</v>
      </c>
      <c r="Y66" s="7">
        <v>90237</v>
      </c>
      <c r="Z66" s="7">
        <v>105007</v>
      </c>
      <c r="AA66" s="7">
        <v>11291</v>
      </c>
    </row>
    <row r="67" spans="1:27" x14ac:dyDescent="0.25">
      <c r="A67" s="8">
        <v>41699</v>
      </c>
      <c r="B67" s="7">
        <v>895281</v>
      </c>
      <c r="C67" s="7">
        <v>6245</v>
      </c>
      <c r="D67" s="7">
        <v>3740</v>
      </c>
      <c r="E67" s="7">
        <v>199510</v>
      </c>
      <c r="F67" s="7">
        <v>59736</v>
      </c>
      <c r="G67" s="7">
        <v>15227</v>
      </c>
      <c r="H67" s="7">
        <v>11628</v>
      </c>
      <c r="I67" s="7">
        <v>11592</v>
      </c>
      <c r="J67" s="7">
        <v>5052</v>
      </c>
      <c r="K67" s="7">
        <v>14577</v>
      </c>
      <c r="L67" s="7">
        <v>25650</v>
      </c>
      <c r="M67" s="7">
        <v>13493</v>
      </c>
      <c r="N67" s="7">
        <v>2313</v>
      </c>
      <c r="O67" s="7">
        <v>13303</v>
      </c>
      <c r="P67" s="7">
        <v>9584</v>
      </c>
      <c r="Q67" s="7">
        <v>30558</v>
      </c>
      <c r="R67" s="7">
        <v>101214</v>
      </c>
      <c r="S67" s="7">
        <v>96244</v>
      </c>
      <c r="T67" s="7">
        <v>87002</v>
      </c>
      <c r="U67" s="7">
        <v>60514</v>
      </c>
      <c r="V67" s="7">
        <v>25676</v>
      </c>
      <c r="W67" s="7">
        <v>865</v>
      </c>
      <c r="X67" s="7">
        <v>237219</v>
      </c>
      <c r="Y67" s="7">
        <v>90694</v>
      </c>
      <c r="Z67" s="7">
        <v>107787</v>
      </c>
      <c r="AA67" s="7">
        <v>9376</v>
      </c>
    </row>
    <row r="68" spans="1:27" x14ac:dyDescent="0.25">
      <c r="A68" s="8">
        <v>41730</v>
      </c>
      <c r="B68" s="7">
        <v>913982</v>
      </c>
      <c r="C68" s="7">
        <v>5451</v>
      </c>
      <c r="D68" s="7">
        <v>2948</v>
      </c>
      <c r="E68" s="7">
        <v>200213</v>
      </c>
      <c r="F68" s="7">
        <v>58251</v>
      </c>
      <c r="G68" s="7">
        <v>16074</v>
      </c>
      <c r="H68" s="7">
        <v>11363</v>
      </c>
      <c r="I68" s="7">
        <v>10604</v>
      </c>
      <c r="J68" s="7">
        <v>5157</v>
      </c>
      <c r="K68" s="7">
        <v>15300</v>
      </c>
      <c r="L68" s="7">
        <v>26177</v>
      </c>
      <c r="M68" s="7">
        <v>13563</v>
      </c>
      <c r="N68" s="7">
        <v>2285</v>
      </c>
      <c r="O68" s="7">
        <v>14307</v>
      </c>
      <c r="P68" s="7">
        <v>10548</v>
      </c>
      <c r="Q68" s="7">
        <v>31810</v>
      </c>
      <c r="R68" s="7">
        <v>98232</v>
      </c>
      <c r="S68" s="7">
        <v>93359</v>
      </c>
      <c r="T68" s="7">
        <v>114306</v>
      </c>
      <c r="U68" s="7">
        <v>86206</v>
      </c>
      <c r="V68" s="7">
        <v>26735</v>
      </c>
      <c r="W68" s="7">
        <v>1246</v>
      </c>
      <c r="X68" s="7">
        <v>235995</v>
      </c>
      <c r="Y68" s="7">
        <v>85493</v>
      </c>
      <c r="Z68" s="7">
        <v>106197</v>
      </c>
      <c r="AA68" s="7">
        <v>9550</v>
      </c>
    </row>
    <row r="69" spans="1:27" x14ac:dyDescent="0.25">
      <c r="A69" s="8">
        <v>41760</v>
      </c>
      <c r="B69" s="7">
        <v>943249</v>
      </c>
      <c r="C69" s="7">
        <v>5250</v>
      </c>
      <c r="D69" s="7">
        <v>2807</v>
      </c>
      <c r="E69" s="7">
        <v>212700</v>
      </c>
      <c r="F69" s="7">
        <v>69577</v>
      </c>
      <c r="G69" s="7">
        <v>14720</v>
      </c>
      <c r="H69" s="7">
        <v>11430</v>
      </c>
      <c r="I69" s="7">
        <v>10843</v>
      </c>
      <c r="J69" s="7">
        <v>5228</v>
      </c>
      <c r="K69" s="7">
        <v>15582</v>
      </c>
      <c r="L69" s="7">
        <v>26583</v>
      </c>
      <c r="M69" s="7">
        <v>14362</v>
      </c>
      <c r="N69" s="7">
        <v>2398</v>
      </c>
      <c r="O69" s="7">
        <v>14354</v>
      </c>
      <c r="P69" s="7">
        <v>10517</v>
      </c>
      <c r="Q69" s="7">
        <v>31855</v>
      </c>
      <c r="R69" s="7">
        <v>109787</v>
      </c>
      <c r="S69" s="7">
        <v>105140</v>
      </c>
      <c r="T69" s="7">
        <v>121771</v>
      </c>
      <c r="U69" s="7">
        <v>91322</v>
      </c>
      <c r="V69" s="7">
        <v>28135</v>
      </c>
      <c r="W69" s="7">
        <v>1246</v>
      </c>
      <c r="X69" s="7">
        <v>244148</v>
      </c>
      <c r="Y69" s="7">
        <v>76161</v>
      </c>
      <c r="Z69" s="7">
        <v>102995</v>
      </c>
      <c r="AA69" s="7">
        <v>10447</v>
      </c>
    </row>
    <row r="70" spans="1:27" x14ac:dyDescent="0.25">
      <c r="A70" s="8">
        <v>41791</v>
      </c>
      <c r="B70" s="7">
        <v>963954</v>
      </c>
      <c r="C70" s="7">
        <v>6495</v>
      </c>
      <c r="D70" s="7">
        <v>2837</v>
      </c>
      <c r="E70" s="7">
        <v>219268</v>
      </c>
      <c r="F70" s="7">
        <v>70921</v>
      </c>
      <c r="G70" s="7">
        <v>14873</v>
      </c>
      <c r="H70" s="7">
        <v>11583</v>
      </c>
      <c r="I70" s="7">
        <v>10768</v>
      </c>
      <c r="J70" s="7">
        <v>5425</v>
      </c>
      <c r="K70" s="7">
        <v>17640</v>
      </c>
      <c r="L70" s="7">
        <v>28830</v>
      </c>
      <c r="M70" s="7">
        <v>15259</v>
      </c>
      <c r="N70" s="7">
        <v>2593</v>
      </c>
      <c r="O70" s="7">
        <v>14363</v>
      </c>
      <c r="P70" s="7">
        <v>10496</v>
      </c>
      <c r="Q70" s="7">
        <v>31882</v>
      </c>
      <c r="R70" s="7">
        <v>115366</v>
      </c>
      <c r="S70" s="7">
        <v>110819</v>
      </c>
      <c r="T70" s="7">
        <v>123688</v>
      </c>
      <c r="U70" s="7">
        <v>92193</v>
      </c>
      <c r="V70" s="7">
        <v>30021</v>
      </c>
      <c r="W70" s="7">
        <v>1249</v>
      </c>
      <c r="X70" s="7">
        <v>252889</v>
      </c>
      <c r="Y70" s="7">
        <v>71403</v>
      </c>
      <c r="Z70" s="7">
        <v>102700</v>
      </c>
      <c r="AA70" s="7">
        <v>10242</v>
      </c>
    </row>
    <row r="71" spans="1:27" x14ac:dyDescent="0.25">
      <c r="A71" s="8">
        <v>41821</v>
      </c>
      <c r="B71" s="7">
        <v>964015</v>
      </c>
      <c r="C71" s="7">
        <v>6560</v>
      </c>
      <c r="D71" s="7">
        <v>2711</v>
      </c>
      <c r="E71" s="7">
        <v>216218</v>
      </c>
      <c r="F71" s="7">
        <v>66801</v>
      </c>
      <c r="G71" s="7">
        <v>14728</v>
      </c>
      <c r="H71" s="7">
        <v>12018</v>
      </c>
      <c r="I71" s="7">
        <v>10785</v>
      </c>
      <c r="J71" s="7">
        <v>5194</v>
      </c>
      <c r="K71" s="7">
        <v>18845</v>
      </c>
      <c r="L71" s="7">
        <v>29467</v>
      </c>
      <c r="M71" s="7">
        <v>14765</v>
      </c>
      <c r="N71" s="7">
        <v>1918</v>
      </c>
      <c r="O71" s="7">
        <v>14354</v>
      </c>
      <c r="P71" s="7">
        <v>10413</v>
      </c>
      <c r="Q71" s="7">
        <v>19893</v>
      </c>
      <c r="R71" s="7">
        <v>103903</v>
      </c>
      <c r="S71" s="7">
        <v>97950</v>
      </c>
      <c r="T71" s="7">
        <v>128615</v>
      </c>
      <c r="U71" s="7">
        <v>94842</v>
      </c>
      <c r="V71" s="7">
        <v>29236</v>
      </c>
      <c r="W71" s="7">
        <v>1298</v>
      </c>
      <c r="X71" s="7">
        <v>255333</v>
      </c>
      <c r="Y71" s="7">
        <v>96658</v>
      </c>
      <c r="Z71" s="7">
        <v>96337</v>
      </c>
      <c r="AA71" s="7">
        <v>11262</v>
      </c>
    </row>
    <row r="72" spans="1:27" x14ac:dyDescent="0.25">
      <c r="A72" s="8">
        <v>41852</v>
      </c>
      <c r="B72" s="7">
        <v>1004160</v>
      </c>
      <c r="C72" s="7">
        <v>6606</v>
      </c>
      <c r="D72" s="7">
        <v>2694</v>
      </c>
      <c r="E72" s="7">
        <v>222611</v>
      </c>
      <c r="F72" s="7">
        <v>69718</v>
      </c>
      <c r="G72" s="7">
        <v>15050</v>
      </c>
      <c r="H72" s="7">
        <v>12457</v>
      </c>
      <c r="I72" s="7">
        <v>10843</v>
      </c>
      <c r="J72" s="7">
        <v>6299</v>
      </c>
      <c r="K72" s="7">
        <v>19768</v>
      </c>
      <c r="L72" s="7">
        <v>29636</v>
      </c>
      <c r="M72" s="7">
        <v>14925</v>
      </c>
      <c r="N72" s="7">
        <v>2021</v>
      </c>
      <c r="O72" s="7">
        <v>14237</v>
      </c>
      <c r="P72" s="7">
        <v>10376</v>
      </c>
      <c r="Q72" s="7">
        <v>20077</v>
      </c>
      <c r="R72" s="7">
        <v>115424</v>
      </c>
      <c r="S72" s="7">
        <v>109419</v>
      </c>
      <c r="T72" s="7">
        <v>153969</v>
      </c>
      <c r="U72" s="7">
        <v>120973</v>
      </c>
      <c r="V72" s="7">
        <v>32539</v>
      </c>
      <c r="W72" s="7">
        <v>4035</v>
      </c>
      <c r="X72" s="7">
        <v>265137</v>
      </c>
      <c r="Y72" s="7">
        <v>74941</v>
      </c>
      <c r="Z72" s="7">
        <v>101262</v>
      </c>
      <c r="AA72" s="7">
        <v>11594</v>
      </c>
    </row>
    <row r="73" spans="1:27" x14ac:dyDescent="0.25">
      <c r="A73" s="8">
        <v>41883</v>
      </c>
      <c r="B73" s="7">
        <v>1019142</v>
      </c>
      <c r="C73" s="7">
        <v>6927</v>
      </c>
      <c r="D73" s="7">
        <v>2844</v>
      </c>
      <c r="E73" s="7">
        <v>222478</v>
      </c>
      <c r="F73" s="7">
        <v>71547</v>
      </c>
      <c r="G73" s="7">
        <v>15130</v>
      </c>
      <c r="H73" s="7">
        <v>12546</v>
      </c>
      <c r="I73" s="7">
        <v>10838</v>
      </c>
      <c r="J73" s="7">
        <v>6530</v>
      </c>
      <c r="K73" s="7">
        <v>18290</v>
      </c>
      <c r="L73" s="7">
        <v>29752</v>
      </c>
      <c r="M73" s="7">
        <v>15135</v>
      </c>
      <c r="N73" s="7">
        <v>2025</v>
      </c>
      <c r="O73" s="7">
        <v>14163</v>
      </c>
      <c r="P73" s="7">
        <v>9979</v>
      </c>
      <c r="Q73" s="7">
        <v>16223</v>
      </c>
      <c r="R73" s="7">
        <v>121687</v>
      </c>
      <c r="S73" s="7">
        <v>114980</v>
      </c>
      <c r="T73" s="7">
        <v>160912</v>
      </c>
      <c r="U73" s="7">
        <v>127316</v>
      </c>
      <c r="V73" s="7">
        <v>33178</v>
      </c>
      <c r="W73" s="7">
        <v>3840</v>
      </c>
      <c r="X73" s="7">
        <v>265884</v>
      </c>
      <c r="Y73" s="7">
        <v>77099</v>
      </c>
      <c r="Z73" s="7">
        <v>102758</v>
      </c>
      <c r="AA73" s="7">
        <v>11996</v>
      </c>
    </row>
    <row r="74" spans="1:27" x14ac:dyDescent="0.25">
      <c r="A74" s="8">
        <v>41913</v>
      </c>
      <c r="B74" s="7">
        <v>999961</v>
      </c>
      <c r="C74" s="7">
        <v>8885</v>
      </c>
      <c r="D74" s="7">
        <v>4657</v>
      </c>
      <c r="E74" s="7">
        <v>206138</v>
      </c>
      <c r="F74" s="7">
        <v>68200</v>
      </c>
      <c r="G74" s="7">
        <v>11323</v>
      </c>
      <c r="H74" s="7">
        <v>8250</v>
      </c>
      <c r="I74" s="7">
        <v>8338</v>
      </c>
      <c r="J74" s="7">
        <v>5793</v>
      </c>
      <c r="K74" s="7">
        <v>13836</v>
      </c>
      <c r="L74" s="7">
        <v>30389</v>
      </c>
      <c r="M74" s="7">
        <v>15070</v>
      </c>
      <c r="N74" s="7">
        <v>1883</v>
      </c>
      <c r="O74" s="7">
        <v>16931</v>
      </c>
      <c r="P74" s="7">
        <v>9984</v>
      </c>
      <c r="Q74" s="7">
        <v>16114</v>
      </c>
      <c r="R74" s="7">
        <v>112981</v>
      </c>
      <c r="S74" s="7">
        <v>106596</v>
      </c>
      <c r="T74" s="7">
        <v>160932</v>
      </c>
      <c r="U74" s="7">
        <v>127272</v>
      </c>
      <c r="V74" s="7">
        <v>33900</v>
      </c>
      <c r="W74" s="7">
        <v>4299</v>
      </c>
      <c r="X74" s="7">
        <v>258130</v>
      </c>
      <c r="Y74" s="7">
        <v>78621</v>
      </c>
      <c r="Z74" s="7">
        <v>112225</v>
      </c>
      <c r="AA74" s="7">
        <v>12035</v>
      </c>
    </row>
    <row r="75" spans="1:27" x14ac:dyDescent="0.25">
      <c r="A75" s="8">
        <v>41944</v>
      </c>
      <c r="B75" s="7">
        <v>1010562</v>
      </c>
      <c r="C75" s="7">
        <v>9067</v>
      </c>
      <c r="D75" s="7">
        <v>4566</v>
      </c>
      <c r="E75" s="7">
        <v>208349</v>
      </c>
      <c r="F75" s="7">
        <v>70494</v>
      </c>
      <c r="G75" s="7">
        <v>11177</v>
      </c>
      <c r="H75" s="7">
        <v>8765</v>
      </c>
      <c r="I75" s="7">
        <v>7731</v>
      </c>
      <c r="J75" s="7">
        <v>6080</v>
      </c>
      <c r="K75" s="7">
        <v>13715</v>
      </c>
      <c r="L75" s="7">
        <v>30699</v>
      </c>
      <c r="M75" s="7">
        <v>15135</v>
      </c>
      <c r="N75" s="7">
        <v>1899</v>
      </c>
      <c r="O75" s="7">
        <v>17199</v>
      </c>
      <c r="P75" s="7">
        <v>10033</v>
      </c>
      <c r="Q75" s="7">
        <v>8882</v>
      </c>
      <c r="R75" s="7">
        <v>116454</v>
      </c>
      <c r="S75" s="7">
        <v>110046</v>
      </c>
      <c r="T75" s="7">
        <v>166208</v>
      </c>
      <c r="U75" s="7">
        <v>129781</v>
      </c>
      <c r="V75" s="7">
        <v>34878</v>
      </c>
      <c r="W75" s="7">
        <v>3921</v>
      </c>
      <c r="X75" s="7">
        <v>260748</v>
      </c>
      <c r="Y75" s="7">
        <v>79053</v>
      </c>
      <c r="Z75" s="7">
        <v>114816</v>
      </c>
      <c r="AA75" s="7">
        <v>12107</v>
      </c>
    </row>
    <row r="76" spans="1:27" x14ac:dyDescent="0.25">
      <c r="A76" s="8">
        <v>41974</v>
      </c>
      <c r="B76" s="7">
        <v>1030497</v>
      </c>
      <c r="C76" s="7">
        <v>12813</v>
      </c>
      <c r="D76" s="7">
        <v>8308</v>
      </c>
      <c r="E76" s="7">
        <v>206475</v>
      </c>
      <c r="F76" s="7">
        <v>70944</v>
      </c>
      <c r="G76" s="7">
        <v>11239</v>
      </c>
      <c r="H76" s="7">
        <v>9618</v>
      </c>
      <c r="I76" s="7">
        <v>7000</v>
      </c>
      <c r="J76" s="7">
        <v>6151</v>
      </c>
      <c r="K76" s="7">
        <v>13659</v>
      </c>
      <c r="L76" s="7">
        <v>32629</v>
      </c>
      <c r="M76" s="7">
        <v>14608</v>
      </c>
      <c r="N76" s="7">
        <v>1902</v>
      </c>
      <c r="O76" s="7">
        <v>16960</v>
      </c>
      <c r="P76" s="7">
        <v>9977</v>
      </c>
      <c r="Q76" s="7">
        <v>8337</v>
      </c>
      <c r="R76" s="7">
        <v>118366</v>
      </c>
      <c r="S76" s="7">
        <v>112287</v>
      </c>
      <c r="T76" s="7">
        <v>169588</v>
      </c>
      <c r="U76" s="7">
        <v>131563</v>
      </c>
      <c r="V76" s="7">
        <v>39569</v>
      </c>
      <c r="W76" s="7">
        <v>7781</v>
      </c>
      <c r="X76" s="7">
        <v>262924</v>
      </c>
      <c r="Y76" s="7">
        <v>82886</v>
      </c>
      <c r="Z76" s="7">
        <v>116985</v>
      </c>
      <c r="AA76" s="7">
        <v>12554</v>
      </c>
    </row>
    <row r="77" spans="1:27" x14ac:dyDescent="0.25">
      <c r="A77" s="8">
        <v>42005</v>
      </c>
      <c r="B77" s="7">
        <v>1128325</v>
      </c>
      <c r="C77" s="7">
        <v>28894</v>
      </c>
      <c r="D77" s="7">
        <v>23174</v>
      </c>
      <c r="E77" s="7">
        <v>205229</v>
      </c>
      <c r="F77" s="7">
        <v>64379</v>
      </c>
      <c r="G77" s="7">
        <v>16565</v>
      </c>
      <c r="H77" s="7">
        <v>9237</v>
      </c>
      <c r="I77" s="7">
        <v>6858</v>
      </c>
      <c r="J77" s="7">
        <v>5268</v>
      </c>
      <c r="K77" s="7">
        <v>13461</v>
      </c>
      <c r="L77" s="7">
        <v>31360</v>
      </c>
      <c r="M77" s="7">
        <v>14321</v>
      </c>
      <c r="N77" s="7">
        <v>1903</v>
      </c>
      <c r="O77" s="7">
        <v>19527</v>
      </c>
      <c r="P77" s="7">
        <v>10156</v>
      </c>
      <c r="Q77" s="7">
        <v>7270</v>
      </c>
      <c r="R77" s="7">
        <v>113511</v>
      </c>
      <c r="S77" s="7">
        <v>108052</v>
      </c>
      <c r="T77" s="7">
        <v>208028</v>
      </c>
      <c r="U77" s="7">
        <v>165621</v>
      </c>
      <c r="V77" s="7">
        <v>37858</v>
      </c>
      <c r="W77" s="7">
        <v>9794</v>
      </c>
      <c r="X77" s="7">
        <v>253191</v>
      </c>
      <c r="Y77" s="7">
        <v>99015</v>
      </c>
      <c r="Z77" s="7">
        <v>162451</v>
      </c>
      <c r="AA77" s="7">
        <v>12878</v>
      </c>
    </row>
    <row r="78" spans="1:27" x14ac:dyDescent="0.25">
      <c r="A78" s="8">
        <v>42036</v>
      </c>
      <c r="B78" s="7">
        <v>1215434</v>
      </c>
      <c r="C78" s="7">
        <v>29464</v>
      </c>
      <c r="D78" s="7">
        <v>23229</v>
      </c>
      <c r="E78" s="7">
        <v>214917</v>
      </c>
      <c r="F78" s="7">
        <v>69599</v>
      </c>
      <c r="G78" s="7">
        <v>17321</v>
      </c>
      <c r="H78" s="7">
        <v>9953</v>
      </c>
      <c r="I78" s="7">
        <v>6807</v>
      </c>
      <c r="J78" s="7">
        <v>5347</v>
      </c>
      <c r="K78" s="7">
        <v>14089</v>
      </c>
      <c r="L78" s="7">
        <v>32027</v>
      </c>
      <c r="M78" s="7">
        <v>14501</v>
      </c>
      <c r="N78" s="7">
        <v>1927</v>
      </c>
      <c r="O78" s="7">
        <v>19038</v>
      </c>
      <c r="P78" s="7">
        <v>10201</v>
      </c>
      <c r="Q78" s="7">
        <v>7387</v>
      </c>
      <c r="R78" s="7">
        <v>127437</v>
      </c>
      <c r="S78" s="7">
        <v>120922</v>
      </c>
      <c r="T78" s="7">
        <v>225013</v>
      </c>
      <c r="U78" s="7">
        <v>160113</v>
      </c>
      <c r="V78" s="7">
        <v>42055</v>
      </c>
      <c r="W78" s="7">
        <v>11095</v>
      </c>
      <c r="X78" s="7">
        <v>277766</v>
      </c>
      <c r="Y78" s="7">
        <v>103895</v>
      </c>
      <c r="Z78" s="7">
        <v>173354</v>
      </c>
      <c r="AA78" s="7">
        <v>14146</v>
      </c>
    </row>
    <row r="79" spans="1:27" x14ac:dyDescent="0.25">
      <c r="A79" s="8">
        <v>42064</v>
      </c>
      <c r="B79" s="7">
        <v>1261646</v>
      </c>
      <c r="C79" s="7">
        <v>29276</v>
      </c>
      <c r="D79" s="7">
        <v>22974</v>
      </c>
      <c r="E79" s="7">
        <v>215494</v>
      </c>
      <c r="F79" s="7">
        <v>72461</v>
      </c>
      <c r="G79" s="7">
        <v>17189</v>
      </c>
      <c r="H79" s="7">
        <v>10927</v>
      </c>
      <c r="I79" s="7">
        <v>6690</v>
      </c>
      <c r="J79" s="7">
        <v>5829</v>
      </c>
      <c r="K79" s="7">
        <v>14822</v>
      </c>
      <c r="L79" s="7">
        <v>31921</v>
      </c>
      <c r="M79" s="7">
        <v>15199</v>
      </c>
      <c r="N79" s="7">
        <v>1921</v>
      </c>
      <c r="O79" s="7">
        <v>12369</v>
      </c>
      <c r="P79" s="7">
        <v>3256</v>
      </c>
      <c r="Q79" s="7">
        <v>7303</v>
      </c>
      <c r="R79" s="7">
        <v>131014</v>
      </c>
      <c r="S79" s="7">
        <v>124512</v>
      </c>
      <c r="T79" s="7">
        <v>233999</v>
      </c>
      <c r="U79" s="7">
        <v>168729</v>
      </c>
      <c r="V79" s="7">
        <v>44572</v>
      </c>
      <c r="W79" s="7">
        <v>11977</v>
      </c>
      <c r="X79" s="7">
        <v>300363</v>
      </c>
      <c r="Y79" s="7">
        <v>108947</v>
      </c>
      <c r="Z79" s="7">
        <v>175519</v>
      </c>
      <c r="AA79" s="7">
        <v>15158</v>
      </c>
    </row>
    <row r="80" spans="1:27" x14ac:dyDescent="0.25">
      <c r="A80" s="8">
        <v>42095</v>
      </c>
      <c r="B80" s="7">
        <v>1322291</v>
      </c>
      <c r="C80" s="7">
        <v>29950</v>
      </c>
      <c r="D80" s="7">
        <v>23507</v>
      </c>
      <c r="E80" s="7">
        <v>220985</v>
      </c>
      <c r="F80" s="7">
        <v>71573</v>
      </c>
      <c r="G80" s="7">
        <v>17301</v>
      </c>
      <c r="H80" s="7">
        <v>11236</v>
      </c>
      <c r="I80" s="7">
        <v>7235</v>
      </c>
      <c r="J80" s="7">
        <v>5435</v>
      </c>
      <c r="K80" s="7">
        <v>15387</v>
      </c>
      <c r="L80" s="7">
        <v>33960</v>
      </c>
      <c r="M80" s="7">
        <v>17304</v>
      </c>
      <c r="N80" s="7">
        <v>2006</v>
      </c>
      <c r="O80" s="7">
        <v>13036</v>
      </c>
      <c r="P80" s="7">
        <v>3349</v>
      </c>
      <c r="Q80" s="7">
        <v>7523</v>
      </c>
      <c r="R80" s="7">
        <v>127635</v>
      </c>
      <c r="S80" s="7">
        <v>120855</v>
      </c>
      <c r="T80" s="7">
        <v>243299</v>
      </c>
      <c r="U80" s="7">
        <v>177591</v>
      </c>
      <c r="V80" s="7">
        <v>43681</v>
      </c>
      <c r="W80" s="7">
        <v>10305</v>
      </c>
      <c r="X80" s="7">
        <v>319996</v>
      </c>
      <c r="Y80" s="7">
        <v>115588</v>
      </c>
      <c r="Z80" s="7">
        <v>197840</v>
      </c>
      <c r="AA80" s="7">
        <v>15793</v>
      </c>
    </row>
    <row r="81" spans="1:27" x14ac:dyDescent="0.25">
      <c r="A81" s="8">
        <v>42125</v>
      </c>
      <c r="B81" s="7">
        <v>1416907</v>
      </c>
      <c r="C81" s="7">
        <v>30706</v>
      </c>
      <c r="D81" s="7">
        <v>23702</v>
      </c>
      <c r="E81" s="7">
        <v>240918</v>
      </c>
      <c r="F81" s="7">
        <v>75691</v>
      </c>
      <c r="G81" s="7">
        <v>17440</v>
      </c>
      <c r="H81" s="7">
        <v>12207</v>
      </c>
      <c r="I81" s="7">
        <v>6914</v>
      </c>
      <c r="J81" s="7">
        <v>5657</v>
      </c>
      <c r="K81" s="7">
        <v>16354</v>
      </c>
      <c r="L81" s="7">
        <v>34959</v>
      </c>
      <c r="M81" s="7">
        <v>23192</v>
      </c>
      <c r="N81" s="7">
        <v>2009</v>
      </c>
      <c r="O81" s="7">
        <v>15538</v>
      </c>
      <c r="P81" s="7">
        <v>4175</v>
      </c>
      <c r="Q81" s="7">
        <v>7340</v>
      </c>
      <c r="R81" s="7">
        <v>133615</v>
      </c>
      <c r="S81" s="7">
        <v>126657</v>
      </c>
      <c r="T81" s="7">
        <v>256692</v>
      </c>
      <c r="U81" s="7">
        <v>194141</v>
      </c>
      <c r="V81" s="7">
        <v>50156</v>
      </c>
      <c r="W81" s="7">
        <v>10888</v>
      </c>
      <c r="X81" s="7">
        <v>339768</v>
      </c>
      <c r="Y81" s="7">
        <v>136188</v>
      </c>
      <c r="Z81" s="7">
        <v>205669</v>
      </c>
      <c r="AA81" s="7">
        <v>15853</v>
      </c>
    </row>
    <row r="82" spans="1:27" x14ac:dyDescent="0.25">
      <c r="A82" s="8">
        <v>42156</v>
      </c>
      <c r="B82" s="7">
        <v>1469750</v>
      </c>
      <c r="C82" s="7">
        <v>30647</v>
      </c>
      <c r="D82" s="7">
        <v>23518</v>
      </c>
      <c r="E82" s="7">
        <v>250024</v>
      </c>
      <c r="F82" s="7">
        <v>77254</v>
      </c>
      <c r="G82" s="7">
        <v>17567</v>
      </c>
      <c r="H82" s="7">
        <v>12647</v>
      </c>
      <c r="I82" s="7">
        <v>8258</v>
      </c>
      <c r="J82" s="7">
        <v>5954</v>
      </c>
      <c r="K82" s="7">
        <v>16959</v>
      </c>
      <c r="L82" s="7">
        <v>35679</v>
      </c>
      <c r="M82" s="7">
        <v>23255</v>
      </c>
      <c r="N82" s="7">
        <v>2023</v>
      </c>
      <c r="O82" s="7">
        <v>16354</v>
      </c>
      <c r="P82" s="7">
        <v>4515</v>
      </c>
      <c r="Q82" s="7">
        <v>7567</v>
      </c>
      <c r="R82" s="7">
        <v>140969</v>
      </c>
      <c r="S82" s="7">
        <v>133252</v>
      </c>
      <c r="T82" s="7">
        <v>268669</v>
      </c>
      <c r="U82" s="7">
        <v>202484</v>
      </c>
      <c r="V82" s="7">
        <v>54069</v>
      </c>
      <c r="W82" s="7">
        <v>13189</v>
      </c>
      <c r="X82" s="7">
        <v>359459</v>
      </c>
      <c r="Y82" s="7">
        <v>141083</v>
      </c>
      <c r="Z82" s="7">
        <v>201178</v>
      </c>
      <c r="AA82" s="7">
        <v>16086</v>
      </c>
    </row>
    <row r="83" spans="1:27" x14ac:dyDescent="0.25">
      <c r="A83" s="8">
        <v>42186</v>
      </c>
      <c r="B83" s="7">
        <v>1540239</v>
      </c>
      <c r="C83" s="7">
        <v>30592</v>
      </c>
      <c r="D83" s="7">
        <v>23756</v>
      </c>
      <c r="E83" s="7">
        <v>254828</v>
      </c>
      <c r="F83" s="7">
        <v>74613</v>
      </c>
      <c r="G83" s="7">
        <v>17412</v>
      </c>
      <c r="H83" s="7">
        <v>12797</v>
      </c>
      <c r="I83" s="7">
        <v>8676</v>
      </c>
      <c r="J83" s="7">
        <v>6200</v>
      </c>
      <c r="K83" s="7">
        <v>19351</v>
      </c>
      <c r="L83" s="7">
        <v>39753</v>
      </c>
      <c r="M83" s="7">
        <v>23224</v>
      </c>
      <c r="N83" s="7">
        <v>2021</v>
      </c>
      <c r="O83" s="7">
        <v>17128</v>
      </c>
      <c r="P83" s="7">
        <v>5022</v>
      </c>
      <c r="Q83" s="7">
        <v>9708</v>
      </c>
      <c r="R83" s="7">
        <v>138958</v>
      </c>
      <c r="S83" s="7">
        <v>130644</v>
      </c>
      <c r="T83" s="7">
        <v>306365</v>
      </c>
      <c r="U83" s="7">
        <v>239144</v>
      </c>
      <c r="V83" s="7">
        <v>56845</v>
      </c>
      <c r="W83" s="7">
        <v>13195</v>
      </c>
      <c r="X83" s="7">
        <v>371876</v>
      </c>
      <c r="Y83" s="7">
        <v>150900</v>
      </c>
      <c r="Z83" s="7">
        <v>204307</v>
      </c>
      <c r="AA83" s="7">
        <v>15859</v>
      </c>
    </row>
    <row r="84" spans="1:27" x14ac:dyDescent="0.25">
      <c r="A84" s="8">
        <v>42217</v>
      </c>
      <c r="B84" s="7">
        <v>1603873</v>
      </c>
      <c r="C84" s="7">
        <v>29572</v>
      </c>
      <c r="D84" s="7">
        <v>23520</v>
      </c>
      <c r="E84" s="7">
        <v>258876</v>
      </c>
      <c r="F84" s="7">
        <v>78826</v>
      </c>
      <c r="G84" s="7">
        <v>18358</v>
      </c>
      <c r="H84" s="7">
        <v>11678</v>
      </c>
      <c r="I84" s="7">
        <v>6814</v>
      </c>
      <c r="J84" s="7">
        <v>6713</v>
      </c>
      <c r="K84" s="7">
        <v>20575</v>
      </c>
      <c r="L84" s="7">
        <v>39373</v>
      </c>
      <c r="M84" s="7">
        <v>23248</v>
      </c>
      <c r="N84" s="7">
        <v>2022</v>
      </c>
      <c r="O84" s="7">
        <v>16793</v>
      </c>
      <c r="P84" s="7">
        <v>5131</v>
      </c>
      <c r="Q84" s="7">
        <v>11969</v>
      </c>
      <c r="R84" s="7">
        <v>137681</v>
      </c>
      <c r="S84" s="7">
        <v>128975</v>
      </c>
      <c r="T84" s="7">
        <v>324818</v>
      </c>
      <c r="U84" s="7">
        <v>256394</v>
      </c>
      <c r="V84" s="7">
        <v>57920</v>
      </c>
      <c r="W84" s="7">
        <v>16736</v>
      </c>
      <c r="X84" s="7">
        <v>392160</v>
      </c>
      <c r="Y84" s="7">
        <v>166650</v>
      </c>
      <c r="Z84" s="7">
        <v>208353</v>
      </c>
      <c r="AA84" s="7">
        <v>15873</v>
      </c>
    </row>
    <row r="85" spans="1:27" x14ac:dyDescent="0.25">
      <c r="A85" s="8">
        <v>42248</v>
      </c>
      <c r="B85" s="7">
        <v>1608194</v>
      </c>
      <c r="C85" s="7">
        <v>29203</v>
      </c>
      <c r="D85" s="7">
        <v>23465</v>
      </c>
      <c r="E85" s="7">
        <v>258765</v>
      </c>
      <c r="F85" s="7">
        <v>80378</v>
      </c>
      <c r="G85" s="7">
        <v>18212</v>
      </c>
      <c r="H85" s="7">
        <v>11225</v>
      </c>
      <c r="I85" s="7">
        <v>7210</v>
      </c>
      <c r="J85" s="7">
        <v>7236</v>
      </c>
      <c r="K85" s="7">
        <v>19496</v>
      </c>
      <c r="L85" s="7">
        <v>39119</v>
      </c>
      <c r="M85" s="7">
        <v>23179</v>
      </c>
      <c r="N85" s="7">
        <v>2022</v>
      </c>
      <c r="O85" s="7">
        <v>18318</v>
      </c>
      <c r="P85" s="7">
        <v>6374</v>
      </c>
      <c r="Q85" s="7">
        <v>12062</v>
      </c>
      <c r="R85" s="7">
        <v>138981</v>
      </c>
      <c r="S85" s="7">
        <v>129398</v>
      </c>
      <c r="T85" s="7">
        <v>320614</v>
      </c>
      <c r="U85" s="7">
        <v>257353</v>
      </c>
      <c r="V85" s="7">
        <v>60847</v>
      </c>
      <c r="W85" s="7">
        <v>20897</v>
      </c>
      <c r="X85" s="7">
        <v>397996</v>
      </c>
      <c r="Y85" s="7">
        <v>162207</v>
      </c>
      <c r="Z85" s="7">
        <v>211179</v>
      </c>
      <c r="AA85" s="7">
        <v>16340</v>
      </c>
    </row>
    <row r="86" spans="1:27" x14ac:dyDescent="0.25">
      <c r="A86" s="8">
        <v>42278</v>
      </c>
      <c r="B86" s="7">
        <v>1586439</v>
      </c>
      <c r="C86" s="7">
        <v>28677</v>
      </c>
      <c r="D86" s="7">
        <v>23661</v>
      </c>
      <c r="E86" s="7">
        <v>249254</v>
      </c>
      <c r="F86" s="7">
        <v>80978</v>
      </c>
      <c r="G86" s="7">
        <v>10622</v>
      </c>
      <c r="H86" s="7">
        <v>10664</v>
      </c>
      <c r="I86" s="7">
        <v>7343</v>
      </c>
      <c r="J86" s="7">
        <v>6874</v>
      </c>
      <c r="K86" s="7">
        <v>21765</v>
      </c>
      <c r="L86" s="7">
        <v>38492</v>
      </c>
      <c r="M86" s="7">
        <v>21945</v>
      </c>
      <c r="N86" s="7">
        <v>1907</v>
      </c>
      <c r="O86" s="7">
        <v>18257</v>
      </c>
      <c r="P86" s="7">
        <v>6380</v>
      </c>
      <c r="Q86" s="7">
        <v>11633</v>
      </c>
      <c r="R86" s="7">
        <v>131344</v>
      </c>
      <c r="S86" s="7">
        <v>122170</v>
      </c>
      <c r="T86" s="7">
        <v>321012</v>
      </c>
      <c r="U86" s="7">
        <v>256760</v>
      </c>
      <c r="V86" s="7">
        <v>63762</v>
      </c>
      <c r="W86" s="7">
        <v>24322</v>
      </c>
      <c r="X86" s="7">
        <v>389086</v>
      </c>
      <c r="Y86" s="7">
        <v>158699</v>
      </c>
      <c r="Z86" s="7">
        <v>217433</v>
      </c>
      <c r="AA86" s="7">
        <v>15539</v>
      </c>
    </row>
    <row r="87" spans="1:27" x14ac:dyDescent="0.25">
      <c r="A87" s="8">
        <v>42309</v>
      </c>
      <c r="B87" s="7">
        <v>1586140</v>
      </c>
      <c r="C87" s="7">
        <v>17207</v>
      </c>
      <c r="D87" s="7">
        <v>12066</v>
      </c>
      <c r="E87" s="7">
        <v>268120</v>
      </c>
      <c r="F87" s="7">
        <v>83108</v>
      </c>
      <c r="G87" s="7">
        <v>11210</v>
      </c>
      <c r="H87" s="7">
        <v>10047</v>
      </c>
      <c r="I87" s="7">
        <v>9673</v>
      </c>
      <c r="J87" s="7">
        <v>9189</v>
      </c>
      <c r="K87" s="7">
        <v>22065</v>
      </c>
      <c r="L87" s="7">
        <v>43076</v>
      </c>
      <c r="M87" s="7">
        <v>24799</v>
      </c>
      <c r="N87" s="7">
        <v>1915</v>
      </c>
      <c r="O87" s="7">
        <v>18470</v>
      </c>
      <c r="P87" s="7">
        <v>7011</v>
      </c>
      <c r="Q87" s="7">
        <v>11857</v>
      </c>
      <c r="R87" s="7">
        <v>137466</v>
      </c>
      <c r="S87" s="7">
        <v>128157</v>
      </c>
      <c r="T87" s="7">
        <v>324892</v>
      </c>
      <c r="U87" s="7">
        <v>259553</v>
      </c>
      <c r="V87" s="7">
        <v>69808</v>
      </c>
      <c r="W87" s="7">
        <v>30732</v>
      </c>
      <c r="X87" s="7">
        <v>406112</v>
      </c>
      <c r="Y87" s="7">
        <v>162094</v>
      </c>
      <c r="Z87" s="7">
        <v>172898</v>
      </c>
      <c r="AA87" s="7">
        <v>15686</v>
      </c>
    </row>
    <row r="88" spans="1:27" x14ac:dyDescent="0.25">
      <c r="A88" s="8">
        <v>42339</v>
      </c>
      <c r="B88" s="7">
        <v>1634251</v>
      </c>
      <c r="C88" s="7">
        <v>17145</v>
      </c>
      <c r="D88" s="7">
        <v>12038</v>
      </c>
      <c r="E88" s="7">
        <v>272459</v>
      </c>
      <c r="F88" s="7">
        <v>78309</v>
      </c>
      <c r="G88" s="7">
        <v>9849</v>
      </c>
      <c r="H88" s="7">
        <v>14204</v>
      </c>
      <c r="I88" s="7">
        <v>10397</v>
      </c>
      <c r="J88" s="7">
        <v>9189</v>
      </c>
      <c r="K88" s="7">
        <v>21877</v>
      </c>
      <c r="L88" s="7">
        <v>44599</v>
      </c>
      <c r="M88" s="7">
        <v>27279</v>
      </c>
      <c r="N88" s="7">
        <v>1884</v>
      </c>
      <c r="O88" s="7">
        <v>18893</v>
      </c>
      <c r="P88" s="7">
        <v>6880</v>
      </c>
      <c r="Q88" s="7">
        <v>21658</v>
      </c>
      <c r="R88" s="7">
        <v>142912</v>
      </c>
      <c r="S88" s="7">
        <v>131120</v>
      </c>
      <c r="T88" s="7">
        <v>330965</v>
      </c>
      <c r="U88" s="7">
        <v>264961</v>
      </c>
      <c r="V88" s="7">
        <v>72725</v>
      </c>
      <c r="W88" s="7">
        <v>33012</v>
      </c>
      <c r="X88" s="7">
        <v>410207</v>
      </c>
      <c r="Y88" s="7">
        <v>160752</v>
      </c>
      <c r="Z88" s="7">
        <v>189929</v>
      </c>
      <c r="AA88" s="7">
        <v>15497</v>
      </c>
    </row>
    <row r="89" spans="1:27" x14ac:dyDescent="0.25">
      <c r="A89" s="8">
        <v>42370</v>
      </c>
      <c r="B89" s="7">
        <v>1676510</v>
      </c>
      <c r="C89" s="7">
        <v>17104</v>
      </c>
      <c r="D89" s="7">
        <v>11986</v>
      </c>
      <c r="E89" s="7">
        <v>268076</v>
      </c>
      <c r="F89" s="7">
        <v>72185</v>
      </c>
      <c r="G89" s="7">
        <v>9509</v>
      </c>
      <c r="H89" s="7">
        <v>14278</v>
      </c>
      <c r="I89" s="7">
        <v>10454</v>
      </c>
      <c r="J89" s="7">
        <v>9639</v>
      </c>
      <c r="K89" s="7">
        <v>20671</v>
      </c>
      <c r="L89" s="7">
        <v>46017</v>
      </c>
      <c r="M89" s="7">
        <v>25581</v>
      </c>
      <c r="N89" s="7">
        <v>1890</v>
      </c>
      <c r="O89" s="7">
        <v>18382</v>
      </c>
      <c r="P89" s="7">
        <v>6615</v>
      </c>
      <c r="Q89" s="7">
        <v>22680</v>
      </c>
      <c r="R89" s="7">
        <v>140173</v>
      </c>
      <c r="S89" s="7">
        <v>125597</v>
      </c>
      <c r="T89" s="7">
        <v>357341</v>
      </c>
      <c r="U89" s="7">
        <v>295080</v>
      </c>
      <c r="V89" s="7">
        <v>80497</v>
      </c>
      <c r="W89" s="7">
        <v>38131</v>
      </c>
      <c r="X89" s="7">
        <v>402400</v>
      </c>
      <c r="Y89" s="7">
        <v>168549</v>
      </c>
      <c r="Z89" s="7">
        <v>204909</v>
      </c>
      <c r="AA89" s="7">
        <v>14781</v>
      </c>
    </row>
    <row r="90" spans="1:27" x14ac:dyDescent="0.25">
      <c r="A90" s="8">
        <v>42401</v>
      </c>
      <c r="B90" s="7">
        <v>1724161</v>
      </c>
      <c r="C90" s="7">
        <v>16584</v>
      </c>
      <c r="D90" s="7">
        <v>12016</v>
      </c>
      <c r="E90" s="7">
        <v>274163</v>
      </c>
      <c r="F90" s="7">
        <v>73000</v>
      </c>
      <c r="G90" s="7">
        <v>9708</v>
      </c>
      <c r="H90" s="7">
        <v>14274</v>
      </c>
      <c r="I90" s="7">
        <v>10466</v>
      </c>
      <c r="J90" s="7">
        <v>11713</v>
      </c>
      <c r="K90" s="7">
        <v>21223</v>
      </c>
      <c r="L90" s="7">
        <v>46267</v>
      </c>
      <c r="M90" s="7">
        <v>26236</v>
      </c>
      <c r="N90" s="7">
        <v>1882</v>
      </c>
      <c r="O90" s="7">
        <v>18077</v>
      </c>
      <c r="P90" s="7">
        <v>6633</v>
      </c>
      <c r="Q90" s="7">
        <v>21678</v>
      </c>
      <c r="R90" s="7">
        <v>144304</v>
      </c>
      <c r="S90" s="7">
        <v>129479</v>
      </c>
      <c r="T90" s="7">
        <v>357373</v>
      </c>
      <c r="U90" s="7">
        <v>297434</v>
      </c>
      <c r="V90" s="7">
        <v>94469</v>
      </c>
      <c r="W90" s="7">
        <v>49583</v>
      </c>
      <c r="X90" s="7">
        <v>426200</v>
      </c>
      <c r="Y90" s="7">
        <v>158100</v>
      </c>
      <c r="Z90" s="7">
        <v>216420</v>
      </c>
      <c r="AA90" s="7">
        <v>14871</v>
      </c>
    </row>
    <row r="91" spans="1:27" x14ac:dyDescent="0.25">
      <c r="A91" s="8">
        <v>42430</v>
      </c>
      <c r="B91" s="7">
        <v>1787832</v>
      </c>
      <c r="C91" s="7">
        <v>16623</v>
      </c>
      <c r="D91" s="7">
        <v>12122</v>
      </c>
      <c r="E91" s="7">
        <v>282396</v>
      </c>
      <c r="F91" s="7">
        <v>80269</v>
      </c>
      <c r="G91" s="7">
        <v>9702</v>
      </c>
      <c r="H91" s="7">
        <v>16428</v>
      </c>
      <c r="I91" s="7">
        <v>10338</v>
      </c>
      <c r="J91" s="7">
        <v>9063</v>
      </c>
      <c r="K91" s="7">
        <v>22913</v>
      </c>
      <c r="L91" s="7">
        <v>42220</v>
      </c>
      <c r="M91" s="7">
        <v>26712</v>
      </c>
      <c r="N91" s="7">
        <v>1896</v>
      </c>
      <c r="O91" s="7">
        <v>19912</v>
      </c>
      <c r="P91" s="7">
        <v>7916</v>
      </c>
      <c r="Q91" s="7">
        <v>21496</v>
      </c>
      <c r="R91" s="7">
        <v>148127</v>
      </c>
      <c r="S91" s="7">
        <v>134223</v>
      </c>
      <c r="T91" s="7">
        <v>399419</v>
      </c>
      <c r="U91" s="7">
        <v>337464</v>
      </c>
      <c r="V91" s="7">
        <v>97527</v>
      </c>
      <c r="W91" s="7">
        <v>55065</v>
      </c>
      <c r="X91" s="7">
        <v>437571</v>
      </c>
      <c r="Y91" s="7">
        <v>148547</v>
      </c>
      <c r="Z91" s="7">
        <v>220893</v>
      </c>
      <c r="AA91" s="7">
        <v>15234</v>
      </c>
    </row>
    <row r="92" spans="1:27" x14ac:dyDescent="0.25">
      <c r="A92" s="8">
        <v>42461</v>
      </c>
      <c r="B92" s="7">
        <v>1758010</v>
      </c>
      <c r="C92" s="7">
        <v>17493</v>
      </c>
      <c r="D92" s="7">
        <v>13026</v>
      </c>
      <c r="E92" s="7">
        <v>274038</v>
      </c>
      <c r="F92" s="7">
        <v>71834</v>
      </c>
      <c r="G92" s="7">
        <v>9305</v>
      </c>
      <c r="H92" s="7">
        <v>16351</v>
      </c>
      <c r="I92" s="7">
        <v>10307</v>
      </c>
      <c r="J92" s="7">
        <v>9170</v>
      </c>
      <c r="K92" s="7">
        <v>23566</v>
      </c>
      <c r="L92" s="7">
        <v>42328</v>
      </c>
      <c r="M92" s="7">
        <v>26007</v>
      </c>
      <c r="N92" s="7">
        <v>1891</v>
      </c>
      <c r="O92" s="7">
        <v>20535</v>
      </c>
      <c r="P92" s="7">
        <v>7860</v>
      </c>
      <c r="Q92" s="7">
        <v>22126</v>
      </c>
      <c r="R92" s="7">
        <v>149419</v>
      </c>
      <c r="S92" s="7">
        <v>135012</v>
      </c>
      <c r="T92" s="7">
        <v>363267</v>
      </c>
      <c r="U92" s="7">
        <v>299143</v>
      </c>
      <c r="V92" s="7">
        <v>109213</v>
      </c>
      <c r="W92" s="7">
        <v>64925</v>
      </c>
      <c r="X92" s="7">
        <v>438207</v>
      </c>
      <c r="Y92" s="7">
        <v>151415</v>
      </c>
      <c r="Z92" s="7">
        <v>217636</v>
      </c>
      <c r="AA92" s="7">
        <v>15196</v>
      </c>
    </row>
    <row r="93" spans="1:27" x14ac:dyDescent="0.25">
      <c r="A93" s="8">
        <v>42491</v>
      </c>
      <c r="B93" s="7">
        <v>1790011</v>
      </c>
      <c r="C93" s="7">
        <v>13215</v>
      </c>
      <c r="D93" s="7">
        <v>9788</v>
      </c>
      <c r="E93" s="7">
        <v>282336</v>
      </c>
      <c r="F93" s="7">
        <v>73168</v>
      </c>
      <c r="G93" s="7">
        <v>10664</v>
      </c>
      <c r="H93" s="7">
        <v>16507</v>
      </c>
      <c r="I93" s="7">
        <v>10013</v>
      </c>
      <c r="J93" s="7">
        <v>9968</v>
      </c>
      <c r="K93" s="7">
        <v>23872</v>
      </c>
      <c r="L93" s="7">
        <v>42895</v>
      </c>
      <c r="M93" s="7">
        <v>30223</v>
      </c>
      <c r="N93" s="7">
        <v>1891</v>
      </c>
      <c r="O93" s="7">
        <v>19789</v>
      </c>
      <c r="P93" s="7">
        <v>7787</v>
      </c>
      <c r="Q93" s="7">
        <v>22013</v>
      </c>
      <c r="R93" s="7">
        <v>153054</v>
      </c>
      <c r="S93" s="7">
        <v>138535</v>
      </c>
      <c r="T93" s="7">
        <v>365682</v>
      </c>
      <c r="U93" s="7">
        <v>304113</v>
      </c>
      <c r="V93" s="7">
        <v>114613</v>
      </c>
      <c r="W93" s="7">
        <v>71425</v>
      </c>
      <c r="X93" s="7">
        <v>441698</v>
      </c>
      <c r="Y93" s="7">
        <v>155632</v>
      </c>
      <c r="Z93" s="7">
        <v>226511</v>
      </c>
      <c r="AA93" s="7">
        <v>15257</v>
      </c>
    </row>
    <row r="94" spans="1:27" x14ac:dyDescent="0.25">
      <c r="A94" s="8">
        <v>42522</v>
      </c>
      <c r="B94" s="7">
        <v>1798480</v>
      </c>
      <c r="C94" s="7">
        <v>14133</v>
      </c>
      <c r="D94" s="7">
        <v>9914</v>
      </c>
      <c r="E94" s="7">
        <v>283259</v>
      </c>
      <c r="F94" s="7">
        <v>73417</v>
      </c>
      <c r="G94" s="7">
        <v>11126</v>
      </c>
      <c r="H94" s="7">
        <v>16561</v>
      </c>
      <c r="I94" s="7">
        <v>9950</v>
      </c>
      <c r="J94" s="7">
        <v>9976</v>
      </c>
      <c r="K94" s="7">
        <v>24066</v>
      </c>
      <c r="L94" s="7">
        <v>43511</v>
      </c>
      <c r="M94" s="7">
        <v>29536</v>
      </c>
      <c r="N94" s="7">
        <v>1891</v>
      </c>
      <c r="O94" s="7">
        <v>19930</v>
      </c>
      <c r="P94" s="7">
        <v>7852</v>
      </c>
      <c r="Q94" s="7">
        <v>21966</v>
      </c>
      <c r="R94" s="7">
        <v>150793</v>
      </c>
      <c r="S94" s="7">
        <v>138688</v>
      </c>
      <c r="T94" s="7">
        <v>369772</v>
      </c>
      <c r="U94" s="7">
        <v>294338</v>
      </c>
      <c r="V94" s="7">
        <v>112972</v>
      </c>
      <c r="W94" s="7">
        <v>70150</v>
      </c>
      <c r="X94" s="7">
        <v>449167</v>
      </c>
      <c r="Y94" s="7">
        <v>144934</v>
      </c>
      <c r="Z94" s="7">
        <v>235893</v>
      </c>
      <c r="AA94" s="7">
        <v>15591</v>
      </c>
    </row>
    <row r="95" spans="1:27" x14ac:dyDescent="0.25">
      <c r="A95" s="8">
        <v>42552</v>
      </c>
      <c r="B95" s="7">
        <v>1797555</v>
      </c>
      <c r="C95" s="7">
        <v>14864</v>
      </c>
      <c r="D95" s="7">
        <v>9599</v>
      </c>
      <c r="E95" s="7">
        <v>275671</v>
      </c>
      <c r="F95" s="7">
        <v>72067</v>
      </c>
      <c r="G95" s="7">
        <v>10696</v>
      </c>
      <c r="H95" s="7">
        <v>16310</v>
      </c>
      <c r="I95" s="7">
        <v>6750</v>
      </c>
      <c r="J95" s="7">
        <v>9948</v>
      </c>
      <c r="K95" s="7">
        <v>24905</v>
      </c>
      <c r="L95" s="7">
        <v>38289</v>
      </c>
      <c r="M95" s="7">
        <v>29230</v>
      </c>
      <c r="N95" s="7">
        <v>1893</v>
      </c>
      <c r="O95" s="7">
        <v>19452</v>
      </c>
      <c r="P95" s="7">
        <v>7878</v>
      </c>
      <c r="Q95" s="7">
        <v>21718</v>
      </c>
      <c r="R95" s="7">
        <v>143856</v>
      </c>
      <c r="S95" s="7">
        <v>131803</v>
      </c>
      <c r="T95" s="7">
        <v>369730</v>
      </c>
      <c r="U95" s="7">
        <v>303808</v>
      </c>
      <c r="V95" s="7">
        <v>108541</v>
      </c>
      <c r="W95" s="7">
        <v>65893</v>
      </c>
      <c r="X95" s="7">
        <v>447776</v>
      </c>
      <c r="Y95" s="7">
        <v>162281</v>
      </c>
      <c r="Z95" s="7">
        <v>237764</v>
      </c>
      <c r="AA95" s="7">
        <v>15354</v>
      </c>
    </row>
    <row r="96" spans="1:27" x14ac:dyDescent="0.25">
      <c r="A96" s="8">
        <v>42583</v>
      </c>
      <c r="B96" s="7">
        <v>1822991</v>
      </c>
      <c r="C96" s="7">
        <v>15104</v>
      </c>
      <c r="D96" s="7">
        <v>9947</v>
      </c>
      <c r="E96" s="7">
        <v>280786</v>
      </c>
      <c r="F96" s="7">
        <v>74433</v>
      </c>
      <c r="G96" s="7">
        <v>11445</v>
      </c>
      <c r="H96" s="7">
        <v>16347</v>
      </c>
      <c r="I96" s="7">
        <v>6688</v>
      </c>
      <c r="J96" s="7">
        <v>10095</v>
      </c>
      <c r="K96" s="7">
        <v>24465</v>
      </c>
      <c r="L96" s="7">
        <v>38724</v>
      </c>
      <c r="M96" s="7">
        <v>29944</v>
      </c>
      <c r="N96" s="7">
        <v>1887</v>
      </c>
      <c r="O96" s="7">
        <v>20079</v>
      </c>
      <c r="P96" s="7">
        <v>7911</v>
      </c>
      <c r="Q96" s="7">
        <v>21749</v>
      </c>
      <c r="R96" s="7">
        <v>146024</v>
      </c>
      <c r="S96" s="7">
        <v>133612</v>
      </c>
      <c r="T96" s="7">
        <v>370220</v>
      </c>
      <c r="U96" s="7">
        <v>303959</v>
      </c>
      <c r="V96" s="7">
        <v>107889</v>
      </c>
      <c r="W96" s="7">
        <v>65180</v>
      </c>
      <c r="X96" s="7">
        <v>462782</v>
      </c>
      <c r="Y96" s="7">
        <v>163612</v>
      </c>
      <c r="Z96" s="7">
        <v>239267</v>
      </c>
      <c r="AA96" s="7">
        <v>15558</v>
      </c>
    </row>
    <row r="97" spans="1:27" x14ac:dyDescent="0.25">
      <c r="A97" s="8">
        <v>42614</v>
      </c>
      <c r="B97" s="7">
        <v>1890348</v>
      </c>
      <c r="C97" s="7">
        <v>15530</v>
      </c>
      <c r="D97" s="7">
        <v>9924</v>
      </c>
      <c r="E97" s="7">
        <v>279127</v>
      </c>
      <c r="F97" s="7">
        <v>70732</v>
      </c>
      <c r="G97" s="7">
        <v>11243</v>
      </c>
      <c r="H97" s="7">
        <v>15914</v>
      </c>
      <c r="I97" s="7">
        <v>6710</v>
      </c>
      <c r="J97" s="7">
        <v>10020</v>
      </c>
      <c r="K97" s="7">
        <v>24524</v>
      </c>
      <c r="L97" s="7">
        <v>39881</v>
      </c>
      <c r="M97" s="7">
        <v>29144</v>
      </c>
      <c r="N97" s="7">
        <v>1888</v>
      </c>
      <c r="O97" s="7">
        <v>19683</v>
      </c>
      <c r="P97" s="7">
        <v>7985</v>
      </c>
      <c r="Q97" s="7">
        <v>21257</v>
      </c>
      <c r="R97" s="7">
        <v>146458</v>
      </c>
      <c r="S97" s="7">
        <v>133676</v>
      </c>
      <c r="T97" s="7">
        <v>421396</v>
      </c>
      <c r="U97" s="7">
        <v>352494</v>
      </c>
      <c r="V97" s="7">
        <v>105067</v>
      </c>
      <c r="W97" s="7">
        <v>63063</v>
      </c>
      <c r="X97" s="7">
        <v>464645</v>
      </c>
      <c r="Y97" s="7">
        <v>178165</v>
      </c>
      <c r="Z97" s="7">
        <v>243560</v>
      </c>
      <c r="AA97" s="7">
        <v>15141</v>
      </c>
    </row>
    <row r="98" spans="1:27" x14ac:dyDescent="0.25">
      <c r="A98" s="8">
        <v>42644</v>
      </c>
      <c r="B98" s="7">
        <v>1863945</v>
      </c>
      <c r="C98" s="7">
        <v>15940</v>
      </c>
      <c r="D98" s="7">
        <v>10336</v>
      </c>
      <c r="E98" s="7">
        <v>263744</v>
      </c>
      <c r="F98" s="7">
        <v>69964</v>
      </c>
      <c r="G98" s="7">
        <v>10416</v>
      </c>
      <c r="H98" s="7">
        <v>15868</v>
      </c>
      <c r="I98" s="7">
        <v>6918</v>
      </c>
      <c r="J98" s="7">
        <v>10002</v>
      </c>
      <c r="K98" s="7">
        <v>19939</v>
      </c>
      <c r="L98" s="7">
        <v>38640</v>
      </c>
      <c r="M98" s="7">
        <v>20688</v>
      </c>
      <c r="N98" s="7">
        <v>1890</v>
      </c>
      <c r="O98" s="7">
        <v>18560</v>
      </c>
      <c r="P98" s="7">
        <v>7808</v>
      </c>
      <c r="Q98" s="7">
        <v>21231</v>
      </c>
      <c r="R98" s="7">
        <v>143894</v>
      </c>
      <c r="S98" s="7">
        <v>131143</v>
      </c>
      <c r="T98" s="7">
        <v>394642</v>
      </c>
      <c r="U98" s="7">
        <v>319912</v>
      </c>
      <c r="V98" s="7">
        <v>102589</v>
      </c>
      <c r="W98" s="7">
        <v>59697</v>
      </c>
      <c r="X98" s="7">
        <v>465177</v>
      </c>
      <c r="Y98" s="7">
        <v>194078</v>
      </c>
      <c r="Z98" s="7">
        <v>248039</v>
      </c>
      <c r="AA98" s="7">
        <v>14611</v>
      </c>
    </row>
    <row r="99" spans="1:27" x14ac:dyDescent="0.25">
      <c r="A99" s="8">
        <v>42675</v>
      </c>
      <c r="B99" s="7">
        <v>1864322</v>
      </c>
      <c r="C99" s="7">
        <v>16020</v>
      </c>
      <c r="D99" s="7">
        <v>10441</v>
      </c>
      <c r="E99" s="7">
        <v>263274</v>
      </c>
      <c r="F99" s="7">
        <v>70123</v>
      </c>
      <c r="G99" s="7">
        <v>10667</v>
      </c>
      <c r="H99" s="7">
        <v>15848</v>
      </c>
      <c r="I99" s="7">
        <v>6932</v>
      </c>
      <c r="J99" s="7">
        <v>10128</v>
      </c>
      <c r="K99" s="7">
        <v>18355</v>
      </c>
      <c r="L99" s="7">
        <v>39403</v>
      </c>
      <c r="M99" s="7">
        <v>21150</v>
      </c>
      <c r="N99" s="7">
        <v>1890</v>
      </c>
      <c r="O99" s="7">
        <v>17161</v>
      </c>
      <c r="P99" s="7">
        <v>8149</v>
      </c>
      <c r="Q99" s="7">
        <v>21417</v>
      </c>
      <c r="R99" s="7">
        <v>142956</v>
      </c>
      <c r="S99" s="7">
        <v>130039</v>
      </c>
      <c r="T99" s="7">
        <v>381364</v>
      </c>
      <c r="U99" s="7">
        <v>306709</v>
      </c>
      <c r="V99" s="7">
        <v>97973</v>
      </c>
      <c r="W99" s="7">
        <v>55976</v>
      </c>
      <c r="X99" s="7">
        <v>472387</v>
      </c>
      <c r="Y99" s="7">
        <v>206256</v>
      </c>
      <c r="Z99" s="7">
        <v>248068</v>
      </c>
      <c r="AA99" s="7">
        <v>14609</v>
      </c>
    </row>
    <row r="100" spans="1:27" x14ac:dyDescent="0.25">
      <c r="A100" s="8">
        <v>42705</v>
      </c>
      <c r="B100" s="7">
        <v>1846295</v>
      </c>
      <c r="C100" s="7">
        <v>12229</v>
      </c>
      <c r="D100" s="7">
        <v>7093</v>
      </c>
      <c r="E100" s="7">
        <v>261201</v>
      </c>
      <c r="F100" s="7">
        <v>69783</v>
      </c>
      <c r="G100" s="7">
        <v>11079</v>
      </c>
      <c r="H100" s="7">
        <v>16088</v>
      </c>
      <c r="I100" s="7">
        <v>7073</v>
      </c>
      <c r="J100" s="7">
        <v>10463</v>
      </c>
      <c r="K100" s="7">
        <v>18748</v>
      </c>
      <c r="L100" s="7">
        <v>36407</v>
      </c>
      <c r="M100" s="7">
        <v>20064</v>
      </c>
      <c r="N100" s="7">
        <v>1890</v>
      </c>
      <c r="O100" s="7">
        <v>17132</v>
      </c>
      <c r="P100" s="7">
        <v>8204</v>
      </c>
      <c r="Q100" s="7">
        <v>21037</v>
      </c>
      <c r="R100" s="7">
        <v>144684</v>
      </c>
      <c r="S100" s="7">
        <v>131767</v>
      </c>
      <c r="T100" s="7">
        <v>379637</v>
      </c>
      <c r="U100" s="7">
        <v>305606</v>
      </c>
      <c r="V100" s="7">
        <v>97888</v>
      </c>
      <c r="W100" s="7">
        <v>55979</v>
      </c>
      <c r="X100" s="7">
        <v>474119</v>
      </c>
      <c r="Y100" s="7">
        <v>206342</v>
      </c>
      <c r="Z100" s="7">
        <v>234674</v>
      </c>
      <c r="AA100" s="7">
        <v>14484</v>
      </c>
    </row>
    <row r="101" spans="1:27" x14ac:dyDescent="0.25">
      <c r="A101" s="8">
        <v>42736</v>
      </c>
      <c r="B101" s="7">
        <v>1749321</v>
      </c>
      <c r="C101" s="7">
        <v>13232</v>
      </c>
      <c r="D101" s="7">
        <v>6922</v>
      </c>
      <c r="E101" s="7">
        <v>252681</v>
      </c>
      <c r="F101" s="7">
        <v>65453</v>
      </c>
      <c r="G101" s="7">
        <v>10989</v>
      </c>
      <c r="H101" s="7">
        <v>14544</v>
      </c>
      <c r="I101" s="7">
        <v>10487</v>
      </c>
      <c r="J101" s="7">
        <v>9754</v>
      </c>
      <c r="K101" s="7">
        <v>18067</v>
      </c>
      <c r="L101" s="7">
        <v>37163</v>
      </c>
      <c r="M101" s="7">
        <v>18069</v>
      </c>
      <c r="N101" s="7">
        <v>1727</v>
      </c>
      <c r="O101" s="7">
        <v>14282</v>
      </c>
      <c r="P101" s="7">
        <v>5574</v>
      </c>
      <c r="Q101" s="7">
        <v>22167</v>
      </c>
      <c r="R101" s="7">
        <v>145064</v>
      </c>
      <c r="S101" s="7">
        <v>131962</v>
      </c>
      <c r="T101" s="7">
        <v>342039</v>
      </c>
      <c r="U101" s="7">
        <v>284664</v>
      </c>
      <c r="V101" s="7">
        <v>89985</v>
      </c>
      <c r="W101" s="7">
        <v>48505</v>
      </c>
      <c r="X101" s="7">
        <v>460467</v>
      </c>
      <c r="Y101" s="7">
        <v>199096</v>
      </c>
      <c r="Z101" s="7">
        <v>210988</v>
      </c>
      <c r="AA101" s="7">
        <v>13602</v>
      </c>
    </row>
    <row r="102" spans="1:27" x14ac:dyDescent="0.25">
      <c r="A102" s="8">
        <v>42767</v>
      </c>
      <c r="B102" s="7">
        <v>1816619</v>
      </c>
      <c r="C102" s="7">
        <v>26005</v>
      </c>
      <c r="D102" s="7">
        <v>7269</v>
      </c>
      <c r="E102" s="7">
        <v>259169</v>
      </c>
      <c r="F102" s="7">
        <v>73269</v>
      </c>
      <c r="G102" s="7">
        <v>11282</v>
      </c>
      <c r="H102" s="7">
        <v>8470</v>
      </c>
      <c r="I102" s="7">
        <v>10757</v>
      </c>
      <c r="J102" s="7">
        <v>8995</v>
      </c>
      <c r="K102" s="7">
        <v>15701</v>
      </c>
      <c r="L102" s="7">
        <v>37489</v>
      </c>
      <c r="M102" s="7">
        <v>30061</v>
      </c>
      <c r="N102" s="7">
        <v>1754</v>
      </c>
      <c r="O102" s="7">
        <v>12710</v>
      </c>
      <c r="P102" s="7">
        <v>5478</v>
      </c>
      <c r="Q102" s="7">
        <v>22734</v>
      </c>
      <c r="R102" s="7">
        <v>145708</v>
      </c>
      <c r="S102" s="7">
        <v>133571</v>
      </c>
      <c r="T102" s="7">
        <v>370107</v>
      </c>
      <c r="U102" s="7">
        <v>308798</v>
      </c>
      <c r="V102" s="7">
        <v>92236</v>
      </c>
      <c r="W102" s="7">
        <v>49290</v>
      </c>
      <c r="X102" s="7">
        <v>461313</v>
      </c>
      <c r="Y102" s="7">
        <v>201441</v>
      </c>
      <c r="Z102" s="7">
        <v>223898</v>
      </c>
      <c r="AA102" s="7">
        <v>14006</v>
      </c>
    </row>
    <row r="103" spans="1:27" x14ac:dyDescent="0.25">
      <c r="A103" s="8">
        <v>42795</v>
      </c>
      <c r="B103" s="7">
        <v>1834579</v>
      </c>
      <c r="C103" s="7">
        <v>27042</v>
      </c>
      <c r="D103" s="7">
        <v>7579</v>
      </c>
      <c r="E103" s="7">
        <v>248236</v>
      </c>
      <c r="F103" s="7">
        <v>67274</v>
      </c>
      <c r="G103" s="7">
        <v>9324</v>
      </c>
      <c r="H103" s="7">
        <v>8496</v>
      </c>
      <c r="I103" s="7">
        <v>10586</v>
      </c>
      <c r="J103" s="7">
        <v>8615</v>
      </c>
      <c r="K103" s="7">
        <v>16316</v>
      </c>
      <c r="L103" s="7">
        <v>38951</v>
      </c>
      <c r="M103" s="7">
        <v>26130</v>
      </c>
      <c r="N103" s="7">
        <v>1709</v>
      </c>
      <c r="O103" s="7">
        <v>12556</v>
      </c>
      <c r="P103" s="7">
        <v>5221</v>
      </c>
      <c r="Q103" s="7">
        <v>22763</v>
      </c>
      <c r="R103" s="7">
        <v>148988</v>
      </c>
      <c r="S103" s="7">
        <v>136446</v>
      </c>
      <c r="T103" s="7">
        <v>383142</v>
      </c>
      <c r="U103" s="7">
        <v>320407</v>
      </c>
      <c r="V103" s="7">
        <v>91575</v>
      </c>
      <c r="W103" s="7">
        <v>49127</v>
      </c>
      <c r="X103" s="7">
        <v>469314</v>
      </c>
      <c r="Y103" s="7">
        <v>210879</v>
      </c>
      <c r="Z103" s="7">
        <v>218742</v>
      </c>
      <c r="AA103" s="7">
        <v>13897</v>
      </c>
    </row>
    <row r="104" spans="1:27" x14ac:dyDescent="0.25">
      <c r="A104" s="8">
        <v>42826</v>
      </c>
      <c r="B104" s="7">
        <v>1814807</v>
      </c>
      <c r="C104" s="7">
        <v>24879</v>
      </c>
      <c r="D104" s="7">
        <v>5992</v>
      </c>
      <c r="E104" s="7">
        <v>242055</v>
      </c>
      <c r="F104" s="7">
        <v>66808</v>
      </c>
      <c r="G104" s="7">
        <v>9681</v>
      </c>
      <c r="H104" s="7">
        <v>8601</v>
      </c>
      <c r="I104" s="7">
        <v>10162</v>
      </c>
      <c r="J104" s="7">
        <v>8558</v>
      </c>
      <c r="K104" s="7">
        <v>16333</v>
      </c>
      <c r="L104" s="7">
        <v>37265</v>
      </c>
      <c r="M104" s="7">
        <v>21984</v>
      </c>
      <c r="N104" s="7">
        <v>1711</v>
      </c>
      <c r="O104" s="7">
        <v>12504</v>
      </c>
      <c r="P104" s="7">
        <v>5495</v>
      </c>
      <c r="Q104" s="7">
        <v>24363</v>
      </c>
      <c r="R104" s="7">
        <v>145954</v>
      </c>
      <c r="S104" s="7">
        <v>133336</v>
      </c>
      <c r="T104" s="7">
        <v>382027</v>
      </c>
      <c r="U104" s="7">
        <v>321151</v>
      </c>
      <c r="V104" s="7">
        <v>90458</v>
      </c>
      <c r="W104" s="7">
        <v>48638</v>
      </c>
      <c r="X104" s="7">
        <v>458963</v>
      </c>
      <c r="Y104" s="7">
        <v>216710</v>
      </c>
      <c r="Z104" s="7">
        <v>215863</v>
      </c>
      <c r="AA104" s="7">
        <v>13533</v>
      </c>
    </row>
    <row r="105" spans="1:27" x14ac:dyDescent="0.25">
      <c r="A105" s="8">
        <v>42856</v>
      </c>
      <c r="B105" s="7">
        <v>1849958</v>
      </c>
      <c r="C105" s="7">
        <v>26211</v>
      </c>
      <c r="D105" s="7">
        <v>5685</v>
      </c>
      <c r="E105" s="7">
        <v>255567</v>
      </c>
      <c r="F105" s="7">
        <v>69218</v>
      </c>
      <c r="G105" s="7">
        <v>9539</v>
      </c>
      <c r="H105" s="7">
        <v>8637</v>
      </c>
      <c r="I105" s="7">
        <v>9938</v>
      </c>
      <c r="J105" s="7">
        <v>8731</v>
      </c>
      <c r="K105" s="7">
        <v>21899</v>
      </c>
      <c r="L105" s="7">
        <v>39727</v>
      </c>
      <c r="M105" s="7">
        <v>24618</v>
      </c>
      <c r="N105" s="7">
        <v>1733</v>
      </c>
      <c r="O105" s="7">
        <v>12681</v>
      </c>
      <c r="P105" s="7">
        <v>5574</v>
      </c>
      <c r="Q105" s="7">
        <v>22653</v>
      </c>
      <c r="R105" s="7">
        <v>146583</v>
      </c>
      <c r="S105" s="7">
        <v>133821</v>
      </c>
      <c r="T105" s="7">
        <v>395876</v>
      </c>
      <c r="U105" s="7">
        <v>334947</v>
      </c>
      <c r="V105" s="7">
        <v>90671</v>
      </c>
      <c r="W105" s="7">
        <v>48560</v>
      </c>
      <c r="X105" s="7">
        <v>456594</v>
      </c>
      <c r="Y105" s="7">
        <v>217723</v>
      </c>
      <c r="Z105" s="7">
        <v>224195</v>
      </c>
      <c r="AA105" s="7">
        <v>13883</v>
      </c>
    </row>
    <row r="106" spans="1:27" x14ac:dyDescent="0.25">
      <c r="A106" s="8">
        <v>42887</v>
      </c>
      <c r="B106" s="7">
        <v>1849906</v>
      </c>
      <c r="C106" s="7">
        <v>26418</v>
      </c>
      <c r="D106" s="7">
        <v>5690</v>
      </c>
      <c r="E106" s="7">
        <v>265589</v>
      </c>
      <c r="F106" s="7">
        <v>71740</v>
      </c>
      <c r="G106" s="7">
        <v>10276</v>
      </c>
      <c r="H106" s="7">
        <v>8547</v>
      </c>
      <c r="I106" s="7">
        <v>9986</v>
      </c>
      <c r="J106" s="7">
        <v>9646</v>
      </c>
      <c r="K106" s="7">
        <v>24798</v>
      </c>
      <c r="L106" s="7">
        <v>46123</v>
      </c>
      <c r="M106" s="7">
        <v>24536</v>
      </c>
      <c r="N106" s="7">
        <v>1735</v>
      </c>
      <c r="O106" s="7">
        <v>11928</v>
      </c>
      <c r="P106" s="7">
        <v>5550</v>
      </c>
      <c r="Q106" s="7">
        <v>15402</v>
      </c>
      <c r="R106" s="7">
        <v>147976</v>
      </c>
      <c r="S106" s="7">
        <v>135178</v>
      </c>
      <c r="T106" s="7">
        <v>378615</v>
      </c>
      <c r="U106" s="7">
        <v>317443</v>
      </c>
      <c r="V106" s="7">
        <v>91069</v>
      </c>
      <c r="W106" s="7">
        <v>48773</v>
      </c>
      <c r="X106" s="7">
        <v>457289</v>
      </c>
      <c r="Y106" s="7">
        <v>222217</v>
      </c>
      <c r="Z106" s="7">
        <v>231189</v>
      </c>
      <c r="AA106" s="7">
        <v>14143</v>
      </c>
    </row>
    <row r="107" spans="1:27" x14ac:dyDescent="0.25">
      <c r="A107" s="8">
        <v>42917</v>
      </c>
      <c r="B107" s="7">
        <v>1827947</v>
      </c>
      <c r="C107" s="7">
        <v>36198</v>
      </c>
      <c r="D107" s="7">
        <v>15876</v>
      </c>
      <c r="E107" s="7">
        <v>258701</v>
      </c>
      <c r="F107" s="7">
        <v>71357</v>
      </c>
      <c r="G107" s="7">
        <v>9934</v>
      </c>
      <c r="H107" s="7">
        <v>8277</v>
      </c>
      <c r="I107" s="7">
        <v>9657</v>
      </c>
      <c r="J107" s="7">
        <v>9856</v>
      </c>
      <c r="K107" s="7">
        <v>25618</v>
      </c>
      <c r="L107" s="7">
        <v>45712</v>
      </c>
      <c r="M107" s="7">
        <v>20299</v>
      </c>
      <c r="N107" s="7">
        <v>335</v>
      </c>
      <c r="O107" s="7">
        <v>11739</v>
      </c>
      <c r="P107" s="7">
        <v>5412</v>
      </c>
      <c r="Q107" s="7">
        <v>14815</v>
      </c>
      <c r="R107" s="7">
        <v>148212</v>
      </c>
      <c r="S107" s="7">
        <v>135482</v>
      </c>
      <c r="T107" s="7">
        <v>363720</v>
      </c>
      <c r="U107" s="7">
        <v>309720</v>
      </c>
      <c r="V107" s="7">
        <v>86513</v>
      </c>
      <c r="W107" s="7">
        <v>47507</v>
      </c>
      <c r="X107" s="7">
        <v>450829</v>
      </c>
      <c r="Y107" s="7">
        <v>225299</v>
      </c>
      <c r="Z107" s="7">
        <v>230060</v>
      </c>
      <c r="AA107" s="7">
        <v>13600</v>
      </c>
    </row>
    <row r="108" spans="1:27" x14ac:dyDescent="0.25">
      <c r="A108" s="8">
        <v>42948</v>
      </c>
      <c r="B108" s="7">
        <v>1852769</v>
      </c>
      <c r="C108" s="7">
        <v>33233</v>
      </c>
      <c r="D108" s="7">
        <v>15134</v>
      </c>
      <c r="E108" s="7">
        <v>259325</v>
      </c>
      <c r="F108" s="7">
        <v>73064</v>
      </c>
      <c r="G108" s="7">
        <v>9967</v>
      </c>
      <c r="H108" s="7">
        <v>8318</v>
      </c>
      <c r="I108" s="7">
        <v>9716</v>
      </c>
      <c r="J108" s="7">
        <v>9873</v>
      </c>
      <c r="K108" s="7">
        <v>26277</v>
      </c>
      <c r="L108" s="7">
        <v>39270</v>
      </c>
      <c r="M108" s="7">
        <v>22704</v>
      </c>
      <c r="N108" s="7">
        <v>336</v>
      </c>
      <c r="O108" s="7">
        <v>11518</v>
      </c>
      <c r="P108" s="7">
        <v>5871</v>
      </c>
      <c r="Q108" s="7">
        <v>14813</v>
      </c>
      <c r="R108" s="7">
        <v>150648</v>
      </c>
      <c r="S108" s="7">
        <v>137855</v>
      </c>
      <c r="T108" s="7">
        <v>359831</v>
      </c>
      <c r="U108" s="7">
        <v>306844</v>
      </c>
      <c r="V108" s="7">
        <v>84112</v>
      </c>
      <c r="W108" s="7">
        <v>47508</v>
      </c>
      <c r="X108" s="7">
        <v>461174</v>
      </c>
      <c r="Y108" s="7">
        <v>242385</v>
      </c>
      <c r="Z108" s="7">
        <v>233825</v>
      </c>
      <c r="AA108" s="7">
        <v>13424</v>
      </c>
    </row>
    <row r="109" spans="1:27" x14ac:dyDescent="0.25">
      <c r="A109" s="8">
        <v>42979</v>
      </c>
      <c r="B109" s="7">
        <v>1850311</v>
      </c>
      <c r="C109" s="7">
        <v>33455</v>
      </c>
      <c r="D109" s="7">
        <v>15148</v>
      </c>
      <c r="E109" s="7">
        <v>264818</v>
      </c>
      <c r="F109" s="7">
        <v>72583</v>
      </c>
      <c r="G109" s="7">
        <v>10064</v>
      </c>
      <c r="H109" s="7">
        <v>8069</v>
      </c>
      <c r="I109" s="7">
        <v>9256</v>
      </c>
      <c r="J109" s="7">
        <v>11203</v>
      </c>
      <c r="K109" s="7">
        <v>29409</v>
      </c>
      <c r="L109" s="7">
        <v>39358</v>
      </c>
      <c r="M109" s="7">
        <v>24411</v>
      </c>
      <c r="N109" s="7">
        <v>333</v>
      </c>
      <c r="O109" s="7">
        <v>13859</v>
      </c>
      <c r="P109" s="7">
        <v>8365</v>
      </c>
      <c r="Q109" s="7">
        <v>15027</v>
      </c>
      <c r="R109" s="7">
        <v>150673</v>
      </c>
      <c r="S109" s="7">
        <v>138045</v>
      </c>
      <c r="T109" s="7">
        <v>353969</v>
      </c>
      <c r="U109" s="7">
        <v>297822</v>
      </c>
      <c r="V109" s="7">
        <v>85104</v>
      </c>
      <c r="W109" s="7">
        <v>47625</v>
      </c>
      <c r="X109" s="7">
        <v>458744</v>
      </c>
      <c r="Y109" s="7">
        <v>244684</v>
      </c>
      <c r="Z109" s="7">
        <v>230435</v>
      </c>
      <c r="AA109" s="7">
        <v>13401</v>
      </c>
    </row>
    <row r="110" spans="1:27" x14ac:dyDescent="0.25">
      <c r="A110" s="8">
        <v>43009</v>
      </c>
      <c r="B110" s="7">
        <v>1851984</v>
      </c>
      <c r="C110" s="7">
        <v>33474</v>
      </c>
      <c r="D110" s="7">
        <v>15140</v>
      </c>
      <c r="E110" s="7">
        <v>263312</v>
      </c>
      <c r="F110" s="7">
        <v>71054</v>
      </c>
      <c r="G110" s="7">
        <v>9991</v>
      </c>
      <c r="H110" s="7">
        <v>8185</v>
      </c>
      <c r="I110" s="7">
        <v>9079</v>
      </c>
      <c r="J110" s="7">
        <v>11547</v>
      </c>
      <c r="K110" s="7">
        <v>33511</v>
      </c>
      <c r="L110" s="7">
        <v>40764</v>
      </c>
      <c r="M110" s="7">
        <v>21252</v>
      </c>
      <c r="N110" s="7">
        <v>555</v>
      </c>
      <c r="O110" s="7">
        <v>13867</v>
      </c>
      <c r="P110" s="7">
        <v>8365</v>
      </c>
      <c r="Q110" s="7">
        <v>15115</v>
      </c>
      <c r="R110" s="7">
        <v>147509</v>
      </c>
      <c r="S110" s="7">
        <v>134422</v>
      </c>
      <c r="T110" s="7">
        <v>370328</v>
      </c>
      <c r="U110" s="7">
        <v>308387</v>
      </c>
      <c r="V110" s="7">
        <v>74779</v>
      </c>
      <c r="W110" s="7">
        <v>40863</v>
      </c>
      <c r="X110" s="7">
        <v>458097</v>
      </c>
      <c r="Y110" s="7">
        <v>244861</v>
      </c>
      <c r="Z110" s="7">
        <v>231085</v>
      </c>
      <c r="AA110" s="7">
        <v>13425</v>
      </c>
    </row>
    <row r="111" spans="1:27" x14ac:dyDescent="0.25">
      <c r="A111" s="8">
        <v>43040</v>
      </c>
      <c r="B111" s="7">
        <v>1844744</v>
      </c>
      <c r="C111" s="7">
        <v>33475</v>
      </c>
      <c r="D111" s="7">
        <v>15125</v>
      </c>
      <c r="E111" s="7">
        <v>268645</v>
      </c>
      <c r="F111" s="7">
        <v>77983</v>
      </c>
      <c r="G111" s="7">
        <v>11048</v>
      </c>
      <c r="H111" s="7">
        <v>8163</v>
      </c>
      <c r="I111" s="7">
        <v>9132</v>
      </c>
      <c r="J111" s="7">
        <v>11394</v>
      </c>
      <c r="K111" s="7">
        <v>36556</v>
      </c>
      <c r="L111" s="7">
        <v>40952</v>
      </c>
      <c r="M111" s="7">
        <v>16930</v>
      </c>
      <c r="N111" s="7">
        <v>337</v>
      </c>
      <c r="O111" s="7">
        <v>13652</v>
      </c>
      <c r="P111" s="7">
        <v>8366</v>
      </c>
      <c r="Q111" s="7">
        <v>14863</v>
      </c>
      <c r="R111" s="7">
        <v>144029</v>
      </c>
      <c r="S111" s="7">
        <v>130912</v>
      </c>
      <c r="T111" s="7">
        <v>263768</v>
      </c>
      <c r="U111" s="7">
        <v>204225</v>
      </c>
      <c r="V111" s="7">
        <v>75531</v>
      </c>
      <c r="W111" s="7">
        <v>41453</v>
      </c>
      <c r="X111" s="7">
        <v>460124</v>
      </c>
      <c r="Y111" s="7">
        <v>346715</v>
      </c>
      <c r="Z111" s="7">
        <v>224091</v>
      </c>
      <c r="AA111" s="7">
        <v>13503</v>
      </c>
    </row>
    <row r="112" spans="1:27" x14ac:dyDescent="0.25">
      <c r="A112" s="8">
        <v>43070</v>
      </c>
      <c r="B112" s="7">
        <v>1802896</v>
      </c>
      <c r="C112" s="7">
        <v>23368</v>
      </c>
      <c r="D112" s="7">
        <v>5114</v>
      </c>
      <c r="E112" s="7">
        <v>263591</v>
      </c>
      <c r="F112" s="7">
        <v>75149</v>
      </c>
      <c r="G112" s="7">
        <v>11289</v>
      </c>
      <c r="H112" s="7">
        <v>8115</v>
      </c>
      <c r="I112" s="7">
        <v>8994</v>
      </c>
      <c r="J112" s="7">
        <v>9261</v>
      </c>
      <c r="K112" s="7">
        <v>38296</v>
      </c>
      <c r="L112" s="7">
        <v>41157</v>
      </c>
      <c r="M112" s="7">
        <v>16532</v>
      </c>
      <c r="N112" s="7">
        <v>336</v>
      </c>
      <c r="O112" s="7">
        <v>13553</v>
      </c>
      <c r="P112" s="7">
        <v>8364</v>
      </c>
      <c r="Q112" s="7">
        <v>19268</v>
      </c>
      <c r="R112" s="7">
        <v>144483</v>
      </c>
      <c r="S112" s="7">
        <v>131372</v>
      </c>
      <c r="T112" s="7">
        <v>263941</v>
      </c>
      <c r="U112" s="7">
        <v>204067</v>
      </c>
      <c r="V112" s="7">
        <v>66295</v>
      </c>
      <c r="W112" s="7">
        <v>31981</v>
      </c>
      <c r="X112" s="7">
        <v>441570</v>
      </c>
      <c r="Y112" s="7">
        <v>341328</v>
      </c>
      <c r="Z112" s="7">
        <v>225869</v>
      </c>
      <c r="AA112" s="7">
        <v>13185</v>
      </c>
    </row>
    <row r="113" spans="1:27" x14ac:dyDescent="0.25">
      <c r="A113" s="8">
        <v>43101</v>
      </c>
      <c r="B113" s="7">
        <v>1803848</v>
      </c>
      <c r="C113" s="7">
        <v>23688</v>
      </c>
      <c r="D113" s="7">
        <v>5084</v>
      </c>
      <c r="E113" s="7">
        <v>277908</v>
      </c>
      <c r="F113" s="7">
        <v>79333</v>
      </c>
      <c r="G113" s="7">
        <v>10568</v>
      </c>
      <c r="H113" s="7">
        <v>7276</v>
      </c>
      <c r="I113" s="7">
        <v>8937</v>
      </c>
      <c r="J113" s="7">
        <v>12085</v>
      </c>
      <c r="K113" s="7">
        <v>35663</v>
      </c>
      <c r="L113" s="7">
        <v>53966</v>
      </c>
      <c r="M113" s="7">
        <v>16486</v>
      </c>
      <c r="N113" s="7">
        <v>337</v>
      </c>
      <c r="O113" s="7">
        <v>13431</v>
      </c>
      <c r="P113" s="7">
        <v>8205</v>
      </c>
      <c r="Q113" s="7">
        <v>19278</v>
      </c>
      <c r="R113" s="7">
        <v>149048</v>
      </c>
      <c r="S113" s="7">
        <v>136218</v>
      </c>
      <c r="T113" s="7">
        <v>267510</v>
      </c>
      <c r="U113" s="7">
        <v>206080</v>
      </c>
      <c r="V113" s="7">
        <v>65085</v>
      </c>
      <c r="W113" s="7">
        <v>31976</v>
      </c>
      <c r="X113" s="7">
        <v>448256</v>
      </c>
      <c r="Y113" s="7">
        <v>320652</v>
      </c>
      <c r="Z113" s="7">
        <v>219538</v>
      </c>
      <c r="AA113" s="7">
        <v>12885</v>
      </c>
    </row>
    <row r="114" spans="1:27" x14ac:dyDescent="0.25">
      <c r="A114" s="8">
        <v>43132</v>
      </c>
      <c r="B114" s="7">
        <v>1911542</v>
      </c>
      <c r="C114" s="7">
        <v>23549</v>
      </c>
      <c r="D114" s="7">
        <v>5088</v>
      </c>
      <c r="E114" s="7">
        <v>293212</v>
      </c>
      <c r="F114" s="7">
        <v>83994</v>
      </c>
      <c r="G114" s="7">
        <v>11569</v>
      </c>
      <c r="H114" s="7">
        <v>7049</v>
      </c>
      <c r="I114" s="7">
        <v>9724</v>
      </c>
      <c r="J114" s="7">
        <v>12140</v>
      </c>
      <c r="K114" s="7">
        <v>37179</v>
      </c>
      <c r="L114" s="7">
        <v>56738</v>
      </c>
      <c r="M114" s="7">
        <v>19419</v>
      </c>
      <c r="N114" s="7">
        <v>313</v>
      </c>
      <c r="O114" s="7">
        <v>14330</v>
      </c>
      <c r="P114" s="7">
        <v>9106</v>
      </c>
      <c r="Q114" s="7">
        <v>21690</v>
      </c>
      <c r="R114" s="7">
        <v>150515</v>
      </c>
      <c r="S114" s="7">
        <v>139469</v>
      </c>
      <c r="T114" s="7">
        <v>289732</v>
      </c>
      <c r="U114" s="7">
        <v>222542</v>
      </c>
      <c r="V114" s="7">
        <v>65026</v>
      </c>
      <c r="W114" s="7">
        <v>32544</v>
      </c>
      <c r="X114" s="7">
        <v>456651</v>
      </c>
      <c r="Y114" s="7">
        <v>389511</v>
      </c>
      <c r="Z114" s="7">
        <v>208771</v>
      </c>
      <c r="AA114" s="7">
        <v>12883</v>
      </c>
    </row>
    <row r="115" spans="1:27" x14ac:dyDescent="0.25">
      <c r="A115" s="8">
        <v>43160</v>
      </c>
      <c r="B115" s="7">
        <v>1931162</v>
      </c>
      <c r="C115" s="7">
        <v>23639</v>
      </c>
      <c r="D115" s="7">
        <v>5163</v>
      </c>
      <c r="E115" s="7">
        <v>290060</v>
      </c>
      <c r="F115" s="7">
        <v>85138</v>
      </c>
      <c r="G115" s="7">
        <v>12402</v>
      </c>
      <c r="H115" s="7">
        <v>6952</v>
      </c>
      <c r="I115" s="7">
        <v>8936</v>
      </c>
      <c r="J115" s="7">
        <v>12310</v>
      </c>
      <c r="K115" s="7">
        <v>37503</v>
      </c>
      <c r="L115" s="7">
        <v>52948</v>
      </c>
      <c r="M115" s="7">
        <v>19658</v>
      </c>
      <c r="N115" s="7">
        <v>607</v>
      </c>
      <c r="O115" s="7">
        <v>13352</v>
      </c>
      <c r="P115" s="7">
        <v>8061</v>
      </c>
      <c r="Q115" s="7">
        <v>20579</v>
      </c>
      <c r="R115" s="7">
        <v>158539</v>
      </c>
      <c r="S115" s="7">
        <v>147468</v>
      </c>
      <c r="T115" s="7">
        <v>294030</v>
      </c>
      <c r="U115" s="7">
        <v>227464</v>
      </c>
      <c r="V115" s="7">
        <v>62379</v>
      </c>
      <c r="W115" s="7">
        <v>32172</v>
      </c>
      <c r="X115" s="7">
        <v>465623</v>
      </c>
      <c r="Y115" s="7">
        <v>380045</v>
      </c>
      <c r="Z115" s="7">
        <v>223537</v>
      </c>
      <c r="AA115" s="7">
        <v>12731</v>
      </c>
    </row>
    <row r="116" spans="1:27" x14ac:dyDescent="0.25">
      <c r="A116" s="8">
        <v>43191</v>
      </c>
      <c r="B116" s="7">
        <v>1930410</v>
      </c>
      <c r="C116" s="7">
        <v>23553</v>
      </c>
      <c r="D116" s="7">
        <v>5116</v>
      </c>
      <c r="E116" s="7">
        <v>285744</v>
      </c>
      <c r="F116" s="7">
        <v>84344</v>
      </c>
      <c r="G116" s="7">
        <v>13092</v>
      </c>
      <c r="H116" s="7">
        <v>6904</v>
      </c>
      <c r="I116" s="7">
        <v>9046</v>
      </c>
      <c r="J116" s="7">
        <v>13143</v>
      </c>
      <c r="K116" s="7">
        <v>38194</v>
      </c>
      <c r="L116" s="7">
        <v>48985</v>
      </c>
      <c r="M116" s="7">
        <v>18407</v>
      </c>
      <c r="N116" s="7">
        <v>605</v>
      </c>
      <c r="O116" s="7">
        <v>13373</v>
      </c>
      <c r="P116" s="7">
        <v>8060</v>
      </c>
      <c r="Q116" s="7">
        <v>20773</v>
      </c>
      <c r="R116" s="7">
        <v>157730</v>
      </c>
      <c r="S116" s="7">
        <v>146641</v>
      </c>
      <c r="T116" s="7">
        <v>285778</v>
      </c>
      <c r="U116" s="7">
        <v>218755</v>
      </c>
      <c r="V116" s="7">
        <v>64299</v>
      </c>
      <c r="W116" s="7">
        <v>31938</v>
      </c>
      <c r="X116" s="7">
        <v>477537</v>
      </c>
      <c r="Y116" s="7">
        <v>339428</v>
      </c>
      <c r="Z116" s="7">
        <v>262786</v>
      </c>
      <c r="AA116" s="7">
        <v>12780</v>
      </c>
    </row>
    <row r="117" spans="1:27" x14ac:dyDescent="0.25">
      <c r="A117" s="8">
        <v>43221</v>
      </c>
      <c r="B117" s="7">
        <v>1965131</v>
      </c>
      <c r="C117" s="7">
        <v>23521</v>
      </c>
      <c r="D117" s="7">
        <v>5108</v>
      </c>
      <c r="E117" s="7">
        <v>300754</v>
      </c>
      <c r="F117" s="7">
        <v>81935</v>
      </c>
      <c r="G117" s="7">
        <v>14430</v>
      </c>
      <c r="H117" s="7">
        <v>6817</v>
      </c>
      <c r="I117" s="7">
        <v>9052</v>
      </c>
      <c r="J117" s="7">
        <v>12878</v>
      </c>
      <c r="K117" s="7">
        <v>54301</v>
      </c>
      <c r="L117" s="7">
        <v>48352</v>
      </c>
      <c r="M117" s="7">
        <v>18595</v>
      </c>
      <c r="N117" s="7">
        <v>627</v>
      </c>
      <c r="O117" s="7">
        <v>13852</v>
      </c>
      <c r="P117" s="7">
        <v>5564</v>
      </c>
      <c r="Q117" s="7">
        <v>19893</v>
      </c>
      <c r="R117" s="7">
        <v>160989</v>
      </c>
      <c r="S117" s="7">
        <v>149892</v>
      </c>
      <c r="T117" s="7">
        <v>285428</v>
      </c>
      <c r="U117" s="7">
        <v>217521</v>
      </c>
      <c r="V117" s="7">
        <v>70319</v>
      </c>
      <c r="W117" s="7">
        <v>37009</v>
      </c>
      <c r="X117" s="7">
        <v>487329</v>
      </c>
      <c r="Y117" s="7">
        <v>341880</v>
      </c>
      <c r="Z117" s="7">
        <v>262252</v>
      </c>
      <c r="AA117" s="7">
        <v>12767</v>
      </c>
    </row>
    <row r="118" spans="1:27" x14ac:dyDescent="0.25">
      <c r="A118" s="8">
        <v>43252</v>
      </c>
      <c r="B118" s="7">
        <v>1931867</v>
      </c>
      <c r="C118" s="7">
        <v>23911</v>
      </c>
      <c r="D118" s="7">
        <v>5156</v>
      </c>
      <c r="E118" s="7">
        <v>297899</v>
      </c>
      <c r="F118" s="7">
        <v>79575</v>
      </c>
      <c r="G118" s="7">
        <v>13585</v>
      </c>
      <c r="H118" s="7">
        <v>6707</v>
      </c>
      <c r="I118" s="7">
        <v>9061</v>
      </c>
      <c r="J118" s="7">
        <v>12744</v>
      </c>
      <c r="K118" s="7">
        <v>53338</v>
      </c>
      <c r="L118" s="7">
        <v>49127</v>
      </c>
      <c r="M118" s="7">
        <v>19864</v>
      </c>
      <c r="N118" s="7">
        <v>597</v>
      </c>
      <c r="O118" s="7">
        <v>13638</v>
      </c>
      <c r="P118" s="7">
        <v>5334</v>
      </c>
      <c r="Q118" s="7">
        <v>19476</v>
      </c>
      <c r="R118" s="7">
        <v>156419</v>
      </c>
      <c r="S118" s="7">
        <v>145320</v>
      </c>
      <c r="T118" s="7">
        <v>280027</v>
      </c>
      <c r="U118" s="7">
        <v>213818</v>
      </c>
      <c r="V118" s="7">
        <v>53150</v>
      </c>
      <c r="W118" s="7">
        <v>20174</v>
      </c>
      <c r="X118" s="7">
        <v>484436</v>
      </c>
      <c r="Y118" s="7">
        <v>335633</v>
      </c>
      <c r="Z118" s="7">
        <v>266415</v>
      </c>
      <c r="AA118" s="7">
        <v>14502</v>
      </c>
    </row>
    <row r="119" spans="1:27" x14ac:dyDescent="0.25">
      <c r="A119" s="8">
        <v>43282</v>
      </c>
      <c r="B119" s="7">
        <v>1909718</v>
      </c>
      <c r="C119" s="7">
        <v>23017</v>
      </c>
      <c r="D119" s="7">
        <v>4410</v>
      </c>
      <c r="E119" s="7">
        <v>299095</v>
      </c>
      <c r="F119" s="7">
        <v>80971</v>
      </c>
      <c r="G119" s="7">
        <v>13788</v>
      </c>
      <c r="H119" s="7">
        <v>6730</v>
      </c>
      <c r="I119" s="7">
        <v>11085</v>
      </c>
      <c r="J119" s="7">
        <v>15548</v>
      </c>
      <c r="K119" s="7">
        <v>51144</v>
      </c>
      <c r="L119" s="7">
        <v>45445</v>
      </c>
      <c r="M119" s="7">
        <v>19562</v>
      </c>
      <c r="N119" s="7">
        <v>597</v>
      </c>
      <c r="O119" s="7">
        <v>13538</v>
      </c>
      <c r="P119" s="7">
        <v>5259</v>
      </c>
      <c r="Q119" s="7">
        <v>20631</v>
      </c>
      <c r="R119" s="7">
        <v>156962</v>
      </c>
      <c r="S119" s="7">
        <v>145910</v>
      </c>
      <c r="T119" s="7">
        <v>280474</v>
      </c>
      <c r="U119" s="7">
        <v>211713</v>
      </c>
      <c r="V119" s="7">
        <v>53591</v>
      </c>
      <c r="W119" s="7">
        <v>20184</v>
      </c>
      <c r="X119" s="7">
        <v>478711</v>
      </c>
      <c r="Y119" s="7">
        <v>329097</v>
      </c>
      <c r="Z119" s="7">
        <v>255172</v>
      </c>
      <c r="AA119" s="7">
        <v>12968</v>
      </c>
    </row>
    <row r="120" spans="1:27" x14ac:dyDescent="0.25">
      <c r="A120" s="8">
        <v>43313</v>
      </c>
      <c r="B120" s="7">
        <v>1938821</v>
      </c>
      <c r="C120" s="7">
        <v>23350</v>
      </c>
      <c r="D120" s="7">
        <v>4909</v>
      </c>
      <c r="E120" s="7">
        <v>316865</v>
      </c>
      <c r="F120" s="7">
        <v>94797</v>
      </c>
      <c r="G120" s="7">
        <v>15028</v>
      </c>
      <c r="H120" s="7">
        <v>7125</v>
      </c>
      <c r="I120" s="7">
        <v>9759</v>
      </c>
      <c r="J120" s="7">
        <v>15773</v>
      </c>
      <c r="K120" s="7">
        <v>50966</v>
      </c>
      <c r="L120" s="7">
        <v>45861</v>
      </c>
      <c r="M120" s="7">
        <v>21821</v>
      </c>
      <c r="N120" s="7">
        <v>597</v>
      </c>
      <c r="O120" s="7">
        <v>13251</v>
      </c>
      <c r="P120" s="7">
        <v>5259</v>
      </c>
      <c r="Q120" s="7">
        <v>20707</v>
      </c>
      <c r="R120" s="7">
        <v>158050</v>
      </c>
      <c r="S120" s="7">
        <v>146994</v>
      </c>
      <c r="T120" s="7">
        <v>304115</v>
      </c>
      <c r="U120" s="7">
        <v>235869</v>
      </c>
      <c r="V120" s="7">
        <v>53455</v>
      </c>
      <c r="W120" s="7">
        <v>20179</v>
      </c>
      <c r="X120" s="7">
        <v>477665</v>
      </c>
      <c r="Y120" s="7">
        <v>332069</v>
      </c>
      <c r="Z120" s="7">
        <v>239611</v>
      </c>
      <c r="AA120" s="7">
        <v>12934</v>
      </c>
    </row>
    <row r="121" spans="1:27" x14ac:dyDescent="0.25">
      <c r="A121" s="8">
        <v>43344</v>
      </c>
      <c r="B121" s="7">
        <v>1970915</v>
      </c>
      <c r="C121" s="7">
        <v>28778</v>
      </c>
      <c r="D121" s="7">
        <v>10163</v>
      </c>
      <c r="E121" s="7">
        <v>322882</v>
      </c>
      <c r="F121" s="7">
        <v>96839</v>
      </c>
      <c r="G121" s="7">
        <v>14887</v>
      </c>
      <c r="H121" s="7">
        <v>7086</v>
      </c>
      <c r="I121" s="7">
        <v>9711</v>
      </c>
      <c r="J121" s="7">
        <v>16914</v>
      </c>
      <c r="K121" s="7">
        <v>51861</v>
      </c>
      <c r="L121" s="7">
        <v>47141</v>
      </c>
      <c r="M121" s="7">
        <v>21425</v>
      </c>
      <c r="N121" s="7">
        <v>598</v>
      </c>
      <c r="O121" s="7">
        <v>13238</v>
      </c>
      <c r="P121" s="7">
        <v>5258</v>
      </c>
      <c r="Q121" s="7">
        <v>21383</v>
      </c>
      <c r="R121" s="7">
        <v>167437</v>
      </c>
      <c r="S121" s="7">
        <v>156409</v>
      </c>
      <c r="T121" s="7">
        <v>289513</v>
      </c>
      <c r="U121" s="7">
        <v>220431</v>
      </c>
      <c r="V121" s="7">
        <v>53312</v>
      </c>
      <c r="W121" s="7">
        <v>20168</v>
      </c>
      <c r="X121" s="7">
        <v>482757</v>
      </c>
      <c r="Y121" s="7">
        <v>338494</v>
      </c>
      <c r="Z121" s="7">
        <v>253538</v>
      </c>
      <c r="AA121" s="7">
        <v>12820</v>
      </c>
    </row>
    <row r="122" spans="1:27" x14ac:dyDescent="0.25">
      <c r="A122" s="8">
        <v>43374</v>
      </c>
      <c r="B122" s="7">
        <v>1973028</v>
      </c>
      <c r="C122" s="7">
        <v>28396</v>
      </c>
      <c r="D122" s="7">
        <v>9825</v>
      </c>
      <c r="E122" s="7">
        <v>333883</v>
      </c>
      <c r="F122" s="7">
        <v>110716</v>
      </c>
      <c r="G122" s="7">
        <v>14773</v>
      </c>
      <c r="H122" s="7">
        <v>6711</v>
      </c>
      <c r="I122" s="7">
        <v>9834</v>
      </c>
      <c r="J122" s="7">
        <v>18272</v>
      </c>
      <c r="K122" s="7">
        <v>53184</v>
      </c>
      <c r="L122" s="7">
        <v>44862</v>
      </c>
      <c r="M122" s="7">
        <v>17959</v>
      </c>
      <c r="N122" s="7">
        <v>318</v>
      </c>
      <c r="O122" s="7">
        <v>12780</v>
      </c>
      <c r="P122" s="7">
        <v>5259</v>
      </c>
      <c r="Q122" s="7">
        <v>21238</v>
      </c>
      <c r="R122" s="7">
        <v>165714</v>
      </c>
      <c r="S122" s="7">
        <v>154795</v>
      </c>
      <c r="T122" s="7">
        <v>286452</v>
      </c>
      <c r="U122" s="7">
        <v>219986</v>
      </c>
      <c r="V122" s="7">
        <v>51408</v>
      </c>
      <c r="W122" s="7">
        <v>19973</v>
      </c>
      <c r="X122" s="7">
        <v>474819</v>
      </c>
      <c r="Y122" s="7">
        <v>341783</v>
      </c>
      <c r="Z122" s="7">
        <v>256361</v>
      </c>
      <c r="AA122" s="7">
        <v>12973</v>
      </c>
    </row>
    <row r="123" spans="1:27" x14ac:dyDescent="0.25">
      <c r="A123" s="8">
        <v>43405</v>
      </c>
      <c r="B123" s="7">
        <v>1965442</v>
      </c>
      <c r="C123" s="7">
        <v>33909</v>
      </c>
      <c r="D123" s="7">
        <v>15361</v>
      </c>
      <c r="E123" s="7">
        <v>344949</v>
      </c>
      <c r="F123" s="7">
        <v>114885</v>
      </c>
      <c r="G123" s="7">
        <v>14856</v>
      </c>
      <c r="H123" s="7">
        <v>6700</v>
      </c>
      <c r="I123" s="7">
        <v>9909</v>
      </c>
      <c r="J123" s="7">
        <v>18321</v>
      </c>
      <c r="K123" s="7">
        <v>59755</v>
      </c>
      <c r="L123" s="7">
        <v>45104</v>
      </c>
      <c r="M123" s="7">
        <v>18103</v>
      </c>
      <c r="N123" s="7">
        <v>318</v>
      </c>
      <c r="O123" s="7">
        <v>12784</v>
      </c>
      <c r="P123" s="7">
        <v>5267</v>
      </c>
      <c r="Q123" s="7">
        <v>20900</v>
      </c>
      <c r="R123" s="7">
        <v>165317</v>
      </c>
      <c r="S123" s="7">
        <v>154433</v>
      </c>
      <c r="T123" s="7">
        <v>289851</v>
      </c>
      <c r="U123" s="7">
        <v>224176</v>
      </c>
      <c r="V123" s="7">
        <v>42907</v>
      </c>
      <c r="W123" s="7">
        <v>13358</v>
      </c>
      <c r="X123" s="7">
        <v>469843</v>
      </c>
      <c r="Y123" s="7">
        <v>324923</v>
      </c>
      <c r="Z123" s="7">
        <v>259798</v>
      </c>
      <c r="AA123" s="7">
        <v>13046</v>
      </c>
    </row>
    <row r="124" spans="1:27" x14ac:dyDescent="0.25">
      <c r="A124" s="8">
        <v>43435</v>
      </c>
      <c r="B124" s="7">
        <v>1961154</v>
      </c>
      <c r="C124" s="7">
        <v>29648</v>
      </c>
      <c r="D124" s="7">
        <v>11078</v>
      </c>
      <c r="E124" s="7">
        <v>347448</v>
      </c>
      <c r="F124" s="7">
        <v>114095</v>
      </c>
      <c r="G124" s="7">
        <v>14991</v>
      </c>
      <c r="H124" s="7">
        <v>7220</v>
      </c>
      <c r="I124" s="7">
        <v>10025</v>
      </c>
      <c r="J124" s="7">
        <v>18708</v>
      </c>
      <c r="K124" s="7">
        <v>60587</v>
      </c>
      <c r="L124" s="7">
        <v>45280</v>
      </c>
      <c r="M124" s="7">
        <v>20471</v>
      </c>
      <c r="N124" s="7">
        <v>318</v>
      </c>
      <c r="O124" s="7">
        <v>12868</v>
      </c>
      <c r="P124" s="7">
        <v>5292</v>
      </c>
      <c r="Q124" s="7">
        <v>20345</v>
      </c>
      <c r="R124" s="7">
        <v>163539</v>
      </c>
      <c r="S124" s="7">
        <v>152671</v>
      </c>
      <c r="T124" s="7">
        <v>285625</v>
      </c>
      <c r="U124" s="7">
        <v>219044</v>
      </c>
      <c r="V124" s="7">
        <v>42709</v>
      </c>
      <c r="W124" s="7">
        <v>13366</v>
      </c>
      <c r="X124" s="7">
        <v>466778</v>
      </c>
      <c r="Y124" s="7">
        <v>329041</v>
      </c>
      <c r="Z124" s="7">
        <v>263139</v>
      </c>
      <c r="AA124" s="7">
        <v>12883</v>
      </c>
    </row>
    <row r="125" spans="1:27" x14ac:dyDescent="0.25">
      <c r="A125" s="8">
        <v>43466</v>
      </c>
      <c r="B125" s="7">
        <v>1899307</v>
      </c>
      <c r="C125" s="7">
        <v>23235</v>
      </c>
      <c r="D125" s="7">
        <v>4805</v>
      </c>
      <c r="E125" s="7">
        <v>331550</v>
      </c>
      <c r="F125" s="7">
        <v>101334</v>
      </c>
      <c r="G125" s="7">
        <v>15614</v>
      </c>
      <c r="H125" s="7">
        <v>7360</v>
      </c>
      <c r="I125" s="7">
        <v>9768</v>
      </c>
      <c r="J125" s="7">
        <v>14713</v>
      </c>
      <c r="K125" s="7">
        <v>60278</v>
      </c>
      <c r="L125" s="7">
        <v>45091</v>
      </c>
      <c r="M125" s="7">
        <v>18414</v>
      </c>
      <c r="N125" s="7">
        <v>320</v>
      </c>
      <c r="O125" s="7">
        <v>12837</v>
      </c>
      <c r="P125" s="7">
        <v>5210</v>
      </c>
      <c r="Q125" s="7">
        <v>20213</v>
      </c>
      <c r="R125" s="7">
        <v>157914</v>
      </c>
      <c r="S125" s="7">
        <v>148758</v>
      </c>
      <c r="T125" s="7">
        <v>287294</v>
      </c>
      <c r="U125" s="7">
        <v>221789</v>
      </c>
      <c r="V125" s="7">
        <v>38232</v>
      </c>
      <c r="W125" s="7">
        <v>10313</v>
      </c>
      <c r="X125" s="7">
        <v>448945</v>
      </c>
      <c r="Y125" s="7">
        <v>322240</v>
      </c>
      <c r="Z125" s="7">
        <v>257081</v>
      </c>
      <c r="AA125" s="7">
        <v>12603</v>
      </c>
    </row>
  </sheetData>
  <mergeCells count="27">
    <mergeCell ref="A4:A7"/>
    <mergeCell ref="B4:AA4"/>
    <mergeCell ref="B5:B7"/>
    <mergeCell ref="C5:C7"/>
    <mergeCell ref="E5:E7"/>
    <mergeCell ref="F5:P5"/>
    <mergeCell ref="Q5:Q7"/>
    <mergeCell ref="R5:R7"/>
    <mergeCell ref="T5:T7"/>
    <mergeCell ref="V5:V7"/>
    <mergeCell ref="X5:X7"/>
    <mergeCell ref="Y5:Y7"/>
    <mergeCell ref="Z5:Z7"/>
    <mergeCell ref="AA5:AA7"/>
    <mergeCell ref="D6:D7"/>
    <mergeCell ref="F6:F7"/>
    <mergeCell ref="G6:G7"/>
    <mergeCell ref="H6:H7"/>
    <mergeCell ref="I6:I7"/>
    <mergeCell ref="J6:J7"/>
    <mergeCell ref="W6:W7"/>
    <mergeCell ref="K6:K7"/>
    <mergeCell ref="L6:L7"/>
    <mergeCell ref="M6:M7"/>
    <mergeCell ref="O6:O7"/>
    <mergeCell ref="S6:S7"/>
    <mergeCell ref="U6:U7"/>
  </mergeCells>
  <hyperlinks>
    <hyperlink ref="Q3" r:id="rId1" xr:uid="{00000000-0004-0000-05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81"/>
  <sheetViews>
    <sheetView topLeftCell="A7" zoomScale="72" zoomScaleNormal="72" workbookViewId="0">
      <selection activeCell="A22" sqref="A22"/>
    </sheetView>
  </sheetViews>
  <sheetFormatPr defaultColWidth="8.7109375" defaultRowHeight="15" x14ac:dyDescent="0.25"/>
  <cols>
    <col min="1" max="1" width="17.140625" style="1" customWidth="1"/>
    <col min="2" max="26" width="17.42578125" style="1" customWidth="1"/>
    <col min="27" max="27" width="12.140625" style="1" bestFit="1" customWidth="1"/>
    <col min="28" max="28" width="15.140625" style="1" customWidth="1"/>
    <col min="29" max="16384" width="8.7109375" style="1"/>
  </cols>
  <sheetData>
    <row r="1" spans="1:29" ht="264.60000000000002" customHeight="1" x14ac:dyDescent="0.25">
      <c r="A1" s="10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52" t="s">
        <v>39</v>
      </c>
      <c r="H1" s="52" t="s">
        <v>40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  <c r="N1" s="52" t="s">
        <v>46</v>
      </c>
      <c r="O1" s="11" t="s">
        <v>47</v>
      </c>
      <c r="P1" s="11" t="s">
        <v>48</v>
      </c>
      <c r="Q1" s="11" t="s">
        <v>6</v>
      </c>
      <c r="R1" s="52" t="s">
        <v>49</v>
      </c>
      <c r="S1" s="11" t="s">
        <v>50</v>
      </c>
      <c r="T1" s="11" t="s">
        <v>51</v>
      </c>
      <c r="U1" s="11" t="s">
        <v>52</v>
      </c>
      <c r="V1" s="11" t="s">
        <v>53</v>
      </c>
      <c r="W1" s="11" t="s">
        <v>54</v>
      </c>
      <c r="X1" s="11" t="s">
        <v>55</v>
      </c>
      <c r="Y1" s="11" t="s">
        <v>11</v>
      </c>
      <c r="Z1" s="11" t="s">
        <v>12</v>
      </c>
      <c r="AA1" s="11" t="s">
        <v>13</v>
      </c>
      <c r="AB1" s="15" t="s">
        <v>56</v>
      </c>
      <c r="AC1" s="16" t="s">
        <v>58</v>
      </c>
    </row>
    <row r="2" spans="1:29" ht="15.75" x14ac:dyDescent="0.25">
      <c r="A2" s="12">
        <v>43497</v>
      </c>
      <c r="B2" s="13">
        <v>25728662</v>
      </c>
      <c r="C2" s="44">
        <f>'Non-performing_after_2019'!B2</f>
        <v>1949294</v>
      </c>
      <c r="D2" s="50">
        <f t="shared" ref="D2:D65" si="0">C2/B2</f>
        <v>7.5763520077336319E-2</v>
      </c>
      <c r="E2" s="13">
        <v>6082270</v>
      </c>
      <c r="F2" s="13">
        <v>904809</v>
      </c>
      <c r="G2" s="13">
        <v>92112</v>
      </c>
      <c r="H2" s="13">
        <v>165875</v>
      </c>
      <c r="I2" s="13">
        <v>1136171</v>
      </c>
      <c r="J2" s="13">
        <v>356893</v>
      </c>
      <c r="K2" s="13">
        <v>346845</v>
      </c>
      <c r="L2" s="13">
        <v>840995</v>
      </c>
      <c r="M2" s="13">
        <v>503170</v>
      </c>
      <c r="N2" s="13">
        <v>9043</v>
      </c>
      <c r="O2" s="13">
        <v>1188152</v>
      </c>
      <c r="P2" s="13">
        <v>204497</v>
      </c>
      <c r="Q2" s="13">
        <v>1218916</v>
      </c>
      <c r="R2" s="13">
        <v>1725294</v>
      </c>
      <c r="S2" s="13">
        <v>1710755</v>
      </c>
      <c r="T2" s="13">
        <v>1063041</v>
      </c>
      <c r="U2" s="13">
        <v>939923</v>
      </c>
      <c r="V2" s="13">
        <v>1771028</v>
      </c>
      <c r="W2" s="13">
        <v>114787</v>
      </c>
      <c r="X2" s="13">
        <v>3681859</v>
      </c>
      <c r="Y2" s="13">
        <v>3874280</v>
      </c>
      <c r="Z2" s="13">
        <v>5078084</v>
      </c>
      <c r="AA2" s="13">
        <v>274024</v>
      </c>
    </row>
    <row r="3" spans="1:29" ht="15.75" x14ac:dyDescent="0.25">
      <c r="A3" s="12">
        <v>43525</v>
      </c>
      <c r="B3" s="13">
        <v>25885238</v>
      </c>
      <c r="C3" s="44">
        <f>'Non-performing_after_2019'!B3</f>
        <v>2050020</v>
      </c>
      <c r="D3" s="50">
        <f t="shared" si="0"/>
        <v>7.9196490293038838E-2</v>
      </c>
      <c r="E3" s="13">
        <v>6137454</v>
      </c>
      <c r="F3" s="13">
        <v>911433</v>
      </c>
      <c r="G3" s="13">
        <v>92536</v>
      </c>
      <c r="H3" s="13">
        <v>173185</v>
      </c>
      <c r="I3" s="13">
        <v>1131661</v>
      </c>
      <c r="J3" s="13">
        <v>356343</v>
      </c>
      <c r="K3" s="13">
        <v>364350</v>
      </c>
      <c r="L3" s="13">
        <v>841707</v>
      </c>
      <c r="M3" s="13">
        <v>510318</v>
      </c>
      <c r="N3" s="13">
        <v>10265</v>
      </c>
      <c r="O3" s="13">
        <v>1203206</v>
      </c>
      <c r="P3" s="13">
        <v>211265</v>
      </c>
      <c r="Q3" s="13">
        <v>1207717</v>
      </c>
      <c r="R3" s="13">
        <v>1746871</v>
      </c>
      <c r="S3" s="13">
        <v>1719165</v>
      </c>
      <c r="T3" s="13">
        <v>1087213</v>
      </c>
      <c r="U3" s="13">
        <v>966809</v>
      </c>
      <c r="V3" s="13">
        <v>1805037</v>
      </c>
      <c r="W3" s="13">
        <v>114026</v>
      </c>
      <c r="X3" s="13">
        <v>3678621</v>
      </c>
      <c r="Y3" s="13">
        <v>3915409</v>
      </c>
      <c r="Z3" s="13">
        <v>5040035</v>
      </c>
      <c r="AA3" s="13">
        <v>293369</v>
      </c>
    </row>
    <row r="4" spans="1:29" ht="15.75" x14ac:dyDescent="0.25">
      <c r="A4" s="12">
        <v>43556</v>
      </c>
      <c r="B4" s="13">
        <v>26209480</v>
      </c>
      <c r="C4" s="44">
        <f>'Non-performing_after_2019'!B4</f>
        <v>2039376</v>
      </c>
      <c r="D4" s="50">
        <f t="shared" si="0"/>
        <v>7.7810624247409713E-2</v>
      </c>
      <c r="E4" s="13">
        <v>6138053</v>
      </c>
      <c r="F4" s="13">
        <v>924484</v>
      </c>
      <c r="G4" s="13">
        <v>94497</v>
      </c>
      <c r="H4" s="13">
        <v>183422</v>
      </c>
      <c r="I4" s="13">
        <v>1126135</v>
      </c>
      <c r="J4" s="13">
        <v>356349</v>
      </c>
      <c r="K4" s="13">
        <v>368798</v>
      </c>
      <c r="L4" s="13">
        <v>855330</v>
      </c>
      <c r="M4" s="13">
        <v>503786</v>
      </c>
      <c r="N4" s="13">
        <v>12448</v>
      </c>
      <c r="O4" s="13">
        <v>1175264</v>
      </c>
      <c r="P4" s="13">
        <v>185192</v>
      </c>
      <c r="Q4" s="13">
        <v>1180787</v>
      </c>
      <c r="R4" s="13">
        <v>1800908</v>
      </c>
      <c r="S4" s="13">
        <v>1773229</v>
      </c>
      <c r="T4" s="13">
        <v>1108528</v>
      </c>
      <c r="U4" s="13">
        <v>986458</v>
      </c>
      <c r="V4" s="13">
        <v>1841668</v>
      </c>
      <c r="W4" s="13">
        <v>114186</v>
      </c>
      <c r="X4" s="13">
        <v>3747668</v>
      </c>
      <c r="Y4" s="13">
        <v>3936643</v>
      </c>
      <c r="Z4" s="13">
        <v>5163325</v>
      </c>
      <c r="AA4" s="13">
        <v>305200</v>
      </c>
    </row>
    <row r="5" spans="1:29" ht="15.75" x14ac:dyDescent="0.25">
      <c r="A5" s="12">
        <v>43586</v>
      </c>
      <c r="B5" s="13">
        <v>26433363</v>
      </c>
      <c r="C5" s="44">
        <f>'Non-performing_after_2019'!B5</f>
        <v>2126326</v>
      </c>
      <c r="D5" s="50">
        <f t="shared" si="0"/>
        <v>8.0440994208720251E-2</v>
      </c>
      <c r="E5" s="13">
        <v>6295855</v>
      </c>
      <c r="F5" s="13">
        <v>947175</v>
      </c>
      <c r="G5" s="13">
        <v>95185</v>
      </c>
      <c r="H5" s="13">
        <v>186568</v>
      </c>
      <c r="I5" s="13">
        <v>1119811</v>
      </c>
      <c r="J5" s="13">
        <v>370422</v>
      </c>
      <c r="K5" s="13">
        <v>370694</v>
      </c>
      <c r="L5" s="13">
        <v>916808</v>
      </c>
      <c r="M5" s="13">
        <v>489212</v>
      </c>
      <c r="N5" s="13">
        <v>13945</v>
      </c>
      <c r="O5" s="13">
        <v>1174900</v>
      </c>
      <c r="P5" s="13">
        <v>222525</v>
      </c>
      <c r="Q5" s="13">
        <v>1182415</v>
      </c>
      <c r="R5" s="13">
        <v>1842789</v>
      </c>
      <c r="S5" s="13">
        <v>1814797</v>
      </c>
      <c r="T5" s="13">
        <v>1131064</v>
      </c>
      <c r="U5" s="13">
        <v>1006435</v>
      </c>
      <c r="V5" s="13">
        <v>1818916</v>
      </c>
      <c r="W5" s="13">
        <v>114077</v>
      </c>
      <c r="X5" s="13">
        <v>3747493</v>
      </c>
      <c r="Y5" s="13">
        <v>3958059</v>
      </c>
      <c r="Z5" s="13">
        <v>5131499</v>
      </c>
      <c r="AA5" s="13">
        <v>313063</v>
      </c>
    </row>
    <row r="6" spans="1:29" ht="15.75" x14ac:dyDescent="0.25">
      <c r="A6" s="12">
        <v>43617</v>
      </c>
      <c r="B6" s="13">
        <v>26513261</v>
      </c>
      <c r="C6" s="44">
        <f>'Non-performing_after_2019'!B6</f>
        <v>2154522</v>
      </c>
      <c r="D6" s="50">
        <f t="shared" si="0"/>
        <v>8.1262052223602374E-2</v>
      </c>
      <c r="E6" s="13">
        <v>6277996</v>
      </c>
      <c r="F6" s="13">
        <v>926671</v>
      </c>
      <c r="G6" s="13">
        <v>93959</v>
      </c>
      <c r="H6" s="13">
        <v>187665</v>
      </c>
      <c r="I6" s="13">
        <v>1097271</v>
      </c>
      <c r="J6" s="13">
        <v>372012</v>
      </c>
      <c r="K6" s="13">
        <v>369268</v>
      </c>
      <c r="L6" s="13">
        <v>915341</v>
      </c>
      <c r="M6" s="13">
        <v>500264</v>
      </c>
      <c r="N6" s="13">
        <v>12503</v>
      </c>
      <c r="O6" s="13">
        <v>1183688</v>
      </c>
      <c r="P6" s="13">
        <v>223392</v>
      </c>
      <c r="Q6" s="13">
        <v>1183870</v>
      </c>
      <c r="R6" s="13">
        <v>1872347</v>
      </c>
      <c r="S6" s="13">
        <v>1845029</v>
      </c>
      <c r="T6" s="13">
        <v>1146542</v>
      </c>
      <c r="U6" s="13">
        <v>1020534</v>
      </c>
      <c r="V6" s="13">
        <v>1797562</v>
      </c>
      <c r="W6" s="13">
        <v>110683</v>
      </c>
      <c r="X6" s="13">
        <v>3740684</v>
      </c>
      <c r="Y6" s="13">
        <v>3977484</v>
      </c>
      <c r="Z6" s="13">
        <v>5201456</v>
      </c>
      <c r="AA6" s="13">
        <v>301725</v>
      </c>
    </row>
    <row r="7" spans="1:29" ht="15.75" x14ac:dyDescent="0.25">
      <c r="A7" s="12">
        <v>43647</v>
      </c>
      <c r="B7" s="13">
        <v>26675170</v>
      </c>
      <c r="C7" s="44">
        <f>'Non-performing_after_2019'!B7</f>
        <v>2167683</v>
      </c>
      <c r="D7" s="50">
        <f t="shared" si="0"/>
        <v>8.1262200015969913E-2</v>
      </c>
      <c r="E7" s="13">
        <v>6265019</v>
      </c>
      <c r="F7" s="13">
        <v>918307</v>
      </c>
      <c r="G7" s="13">
        <v>94419</v>
      </c>
      <c r="H7" s="13">
        <v>188107</v>
      </c>
      <c r="I7" s="13">
        <v>1093157</v>
      </c>
      <c r="J7" s="13">
        <v>374407</v>
      </c>
      <c r="K7" s="13">
        <v>365544</v>
      </c>
      <c r="L7" s="13">
        <v>931478</v>
      </c>
      <c r="M7" s="13">
        <v>502653</v>
      </c>
      <c r="N7" s="13">
        <v>9574</v>
      </c>
      <c r="O7" s="13">
        <v>1154792</v>
      </c>
      <c r="P7" s="13">
        <v>188702</v>
      </c>
      <c r="Q7" s="13">
        <v>1203128</v>
      </c>
      <c r="R7" s="13">
        <v>1901775</v>
      </c>
      <c r="S7" s="13">
        <v>1874127</v>
      </c>
      <c r="T7" s="13">
        <v>1169732</v>
      </c>
      <c r="U7" s="13">
        <v>1040557</v>
      </c>
      <c r="V7" s="13">
        <v>1804384</v>
      </c>
      <c r="W7" s="13">
        <v>112582</v>
      </c>
      <c r="X7" s="13">
        <v>3735928</v>
      </c>
      <c r="Y7" s="13">
        <v>3996904</v>
      </c>
      <c r="Z7" s="13">
        <v>5296277</v>
      </c>
      <c r="AA7" s="13">
        <v>290411</v>
      </c>
    </row>
    <row r="8" spans="1:29" ht="15.75" x14ac:dyDescent="0.25">
      <c r="A8" s="12">
        <v>43678</v>
      </c>
      <c r="B8" s="13">
        <v>26849438</v>
      </c>
      <c r="C8" s="44">
        <f>'Non-performing_after_2019'!B8</f>
        <v>2205926</v>
      </c>
      <c r="D8" s="50">
        <f t="shared" si="0"/>
        <v>8.2159112604144643E-2</v>
      </c>
      <c r="E8" s="13">
        <v>6310098</v>
      </c>
      <c r="F8" s="13">
        <v>910878</v>
      </c>
      <c r="G8" s="13">
        <v>93542</v>
      </c>
      <c r="H8" s="13">
        <v>191584</v>
      </c>
      <c r="I8" s="13">
        <v>1089861</v>
      </c>
      <c r="J8" s="13">
        <v>387826</v>
      </c>
      <c r="K8" s="13">
        <v>363349</v>
      </c>
      <c r="L8" s="13">
        <v>961326</v>
      </c>
      <c r="M8" s="13">
        <v>514920</v>
      </c>
      <c r="N8" s="13">
        <v>8643</v>
      </c>
      <c r="O8" s="13">
        <v>1143172</v>
      </c>
      <c r="P8" s="13">
        <v>187178</v>
      </c>
      <c r="Q8" s="13">
        <v>1216249</v>
      </c>
      <c r="R8" s="13">
        <v>1929686</v>
      </c>
      <c r="S8" s="13">
        <v>1902553</v>
      </c>
      <c r="T8" s="13">
        <v>1203431</v>
      </c>
      <c r="U8" s="13">
        <v>1072594</v>
      </c>
      <c r="V8" s="13">
        <v>1795332</v>
      </c>
      <c r="W8" s="13">
        <v>110328</v>
      </c>
      <c r="X8" s="13">
        <v>3717436</v>
      </c>
      <c r="Y8" s="13">
        <v>4040166</v>
      </c>
      <c r="Z8" s="13">
        <v>5354908</v>
      </c>
      <c r="AA8" s="13">
        <v>282084</v>
      </c>
    </row>
    <row r="9" spans="1:29" ht="15.75" x14ac:dyDescent="0.25">
      <c r="A9" s="12">
        <v>43709</v>
      </c>
      <c r="B9" s="13">
        <v>27110459</v>
      </c>
      <c r="C9" s="44">
        <f>'Non-performing_after_2019'!B9</f>
        <v>2206565</v>
      </c>
      <c r="D9" s="50">
        <f t="shared" si="0"/>
        <v>8.1391650358999826E-2</v>
      </c>
      <c r="E9" s="13">
        <v>6379661</v>
      </c>
      <c r="F9" s="13">
        <v>923369</v>
      </c>
      <c r="G9" s="13">
        <v>91855</v>
      </c>
      <c r="H9" s="13">
        <v>193144</v>
      </c>
      <c r="I9" s="13">
        <v>1137251</v>
      </c>
      <c r="J9" s="13">
        <v>389334</v>
      </c>
      <c r="K9" s="13">
        <v>357052</v>
      </c>
      <c r="L9" s="13">
        <v>941930</v>
      </c>
      <c r="M9" s="13">
        <v>521525</v>
      </c>
      <c r="N9" s="13">
        <v>8281</v>
      </c>
      <c r="O9" s="13">
        <v>1162792</v>
      </c>
      <c r="P9" s="13">
        <v>195452</v>
      </c>
      <c r="Q9" s="13">
        <v>1244014</v>
      </c>
      <c r="R9" s="13">
        <v>1933293</v>
      </c>
      <c r="S9" s="13">
        <v>1906316</v>
      </c>
      <c r="T9" s="13">
        <v>1231981</v>
      </c>
      <c r="U9" s="13">
        <v>1098769</v>
      </c>
      <c r="V9" s="13">
        <v>1798274</v>
      </c>
      <c r="W9" s="13">
        <v>108325</v>
      </c>
      <c r="X9" s="13">
        <v>3723725</v>
      </c>
      <c r="Y9" s="13">
        <v>4132575</v>
      </c>
      <c r="Z9" s="13">
        <v>5397768</v>
      </c>
      <c r="AA9" s="13">
        <v>280701</v>
      </c>
    </row>
    <row r="10" spans="1:29" ht="15.75" x14ac:dyDescent="0.25">
      <c r="A10" s="12">
        <v>43739</v>
      </c>
      <c r="B10" s="13">
        <v>27256839</v>
      </c>
      <c r="C10" s="44">
        <f>'Non-performing_after_2019'!B10</f>
        <v>2227953</v>
      </c>
      <c r="D10" s="50">
        <f t="shared" si="0"/>
        <v>8.1739228822535148E-2</v>
      </c>
      <c r="E10" s="13">
        <v>6453188</v>
      </c>
      <c r="F10" s="13">
        <v>964124</v>
      </c>
      <c r="G10" s="13">
        <v>91959</v>
      </c>
      <c r="H10" s="13">
        <v>195581</v>
      </c>
      <c r="I10" s="13">
        <v>1145350</v>
      </c>
      <c r="J10" s="13">
        <v>390091</v>
      </c>
      <c r="K10" s="13">
        <v>355930</v>
      </c>
      <c r="L10" s="13">
        <v>928970</v>
      </c>
      <c r="M10" s="13">
        <v>534200</v>
      </c>
      <c r="N10" s="13">
        <v>8161</v>
      </c>
      <c r="O10" s="13">
        <v>1179565</v>
      </c>
      <c r="P10" s="13">
        <v>187045</v>
      </c>
      <c r="Q10" s="13">
        <v>1240908</v>
      </c>
      <c r="R10" s="13">
        <v>1946462</v>
      </c>
      <c r="S10" s="13">
        <v>1919280</v>
      </c>
      <c r="T10" s="13">
        <v>1255454</v>
      </c>
      <c r="U10" s="13">
        <v>1116876</v>
      </c>
      <c r="V10" s="13">
        <v>1831630</v>
      </c>
      <c r="W10" s="13">
        <v>109237</v>
      </c>
      <c r="X10" s="13">
        <v>3696967</v>
      </c>
      <c r="Y10" s="13">
        <v>4155038</v>
      </c>
      <c r="Z10" s="13">
        <v>5402378</v>
      </c>
      <c r="AA10" s="13">
        <v>286714</v>
      </c>
    </row>
    <row r="11" spans="1:29" ht="15.75" x14ac:dyDescent="0.25">
      <c r="A11" s="12">
        <v>43770</v>
      </c>
      <c r="B11" s="13">
        <v>27466530</v>
      </c>
      <c r="C11" s="44">
        <f>'Non-performing_after_2019'!B11</f>
        <v>2191242</v>
      </c>
      <c r="D11" s="50">
        <f t="shared" si="0"/>
        <v>7.9778625112090967E-2</v>
      </c>
      <c r="E11" s="13">
        <v>6437282</v>
      </c>
      <c r="F11" s="13">
        <v>988232</v>
      </c>
      <c r="G11" s="13">
        <v>93045</v>
      </c>
      <c r="H11" s="13">
        <v>205332</v>
      </c>
      <c r="I11" s="13">
        <v>1047604</v>
      </c>
      <c r="J11" s="13">
        <v>396920</v>
      </c>
      <c r="K11" s="13">
        <v>351756</v>
      </c>
      <c r="L11" s="13">
        <v>989071</v>
      </c>
      <c r="M11" s="13">
        <v>547323</v>
      </c>
      <c r="N11" s="13">
        <v>7999</v>
      </c>
      <c r="O11" s="13">
        <v>1183288</v>
      </c>
      <c r="P11" s="13">
        <v>175310</v>
      </c>
      <c r="Q11" s="13">
        <v>1241427</v>
      </c>
      <c r="R11" s="13">
        <v>1915876</v>
      </c>
      <c r="S11" s="13">
        <v>1888522</v>
      </c>
      <c r="T11" s="13">
        <v>1265871</v>
      </c>
      <c r="U11" s="13">
        <v>1127319</v>
      </c>
      <c r="V11" s="13">
        <v>1835998</v>
      </c>
      <c r="W11" s="13">
        <v>116030</v>
      </c>
      <c r="X11" s="13">
        <v>3789615</v>
      </c>
      <c r="Y11" s="13">
        <v>4224697</v>
      </c>
      <c r="Z11" s="13">
        <v>5452059</v>
      </c>
      <c r="AA11" s="13">
        <v>290805</v>
      </c>
    </row>
    <row r="12" spans="1:29" ht="15.75" x14ac:dyDescent="0.25">
      <c r="A12" s="12">
        <v>43800</v>
      </c>
      <c r="B12" s="13">
        <v>27672879</v>
      </c>
      <c r="C12" s="44">
        <f>'Non-performing_after_2019'!B12</f>
        <v>2126786</v>
      </c>
      <c r="D12" s="50">
        <f t="shared" si="0"/>
        <v>7.6854526050578256E-2</v>
      </c>
      <c r="E12" s="13">
        <v>6307192</v>
      </c>
      <c r="F12" s="13">
        <v>1001411</v>
      </c>
      <c r="G12" s="13">
        <v>94685</v>
      </c>
      <c r="H12" s="13">
        <v>224027</v>
      </c>
      <c r="I12" s="13">
        <v>971323</v>
      </c>
      <c r="J12" s="13">
        <v>390820</v>
      </c>
      <c r="K12" s="13">
        <v>321577</v>
      </c>
      <c r="L12" s="13">
        <v>908927</v>
      </c>
      <c r="M12" s="13">
        <v>564924</v>
      </c>
      <c r="N12" s="13">
        <v>8472</v>
      </c>
      <c r="O12" s="13">
        <v>1188926</v>
      </c>
      <c r="P12" s="13">
        <v>174759</v>
      </c>
      <c r="Q12" s="13">
        <v>1252643</v>
      </c>
      <c r="R12" s="13">
        <v>1976858</v>
      </c>
      <c r="S12" s="13">
        <v>1949218</v>
      </c>
      <c r="T12" s="13">
        <v>1281089</v>
      </c>
      <c r="U12" s="13">
        <v>1146693</v>
      </c>
      <c r="V12" s="13">
        <v>1817133</v>
      </c>
      <c r="W12" s="13">
        <v>114161</v>
      </c>
      <c r="X12" s="13">
        <v>3786203</v>
      </c>
      <c r="Y12" s="13">
        <v>4288569</v>
      </c>
      <c r="Z12" s="13">
        <v>5663296</v>
      </c>
      <c r="AA12" s="13">
        <v>294780</v>
      </c>
    </row>
    <row r="13" spans="1:29" ht="15.75" x14ac:dyDescent="0.25">
      <c r="A13" s="12">
        <v>43831</v>
      </c>
      <c r="B13" s="13">
        <v>27586340</v>
      </c>
      <c r="C13" s="44">
        <f>'Non-performing_after_2019'!B13</f>
        <v>2084839</v>
      </c>
      <c r="D13" s="50">
        <f t="shared" si="0"/>
        <v>7.5575049100388092E-2</v>
      </c>
      <c r="E13" s="13">
        <v>6184484</v>
      </c>
      <c r="F13" s="13">
        <v>991988</v>
      </c>
      <c r="G13" s="13">
        <v>94924</v>
      </c>
      <c r="H13" s="13">
        <v>225830</v>
      </c>
      <c r="I13" s="13">
        <v>1027691</v>
      </c>
      <c r="J13" s="13">
        <v>390898</v>
      </c>
      <c r="K13" s="13">
        <v>309439</v>
      </c>
      <c r="L13" s="13">
        <v>898487</v>
      </c>
      <c r="M13" s="13">
        <v>508971</v>
      </c>
      <c r="N13" s="13">
        <v>8621</v>
      </c>
      <c r="O13" s="13">
        <v>1119549</v>
      </c>
      <c r="P13" s="13">
        <v>171242</v>
      </c>
      <c r="Q13" s="13">
        <v>1284964</v>
      </c>
      <c r="R13" s="13">
        <v>1995510</v>
      </c>
      <c r="S13" s="13">
        <v>1967617</v>
      </c>
      <c r="T13" s="13">
        <v>1218697</v>
      </c>
      <c r="U13" s="13">
        <v>1082759</v>
      </c>
      <c r="V13" s="13">
        <v>1832529</v>
      </c>
      <c r="W13" s="13">
        <v>118005</v>
      </c>
      <c r="X13" s="13">
        <v>3549400</v>
      </c>
      <c r="Y13" s="13">
        <v>4331135</v>
      </c>
      <c r="Z13" s="13">
        <v>5879388</v>
      </c>
      <c r="AA13" s="13">
        <v>299605</v>
      </c>
    </row>
    <row r="14" spans="1:29" ht="15.75" x14ac:dyDescent="0.25">
      <c r="A14" s="12">
        <v>43862</v>
      </c>
      <c r="B14" s="13">
        <v>27611378</v>
      </c>
      <c r="C14" s="44">
        <f>'Non-performing_after_2019'!B14</f>
        <v>2094066</v>
      </c>
      <c r="D14" s="50">
        <f t="shared" si="0"/>
        <v>7.5840691471465133E-2</v>
      </c>
      <c r="E14" s="13">
        <v>6148215</v>
      </c>
      <c r="F14" s="13">
        <v>921369</v>
      </c>
      <c r="G14" s="13">
        <v>86186</v>
      </c>
      <c r="H14" s="13">
        <v>221726</v>
      </c>
      <c r="I14" s="13">
        <v>972831</v>
      </c>
      <c r="J14" s="13">
        <v>412371</v>
      </c>
      <c r="K14" s="13">
        <v>345837</v>
      </c>
      <c r="L14" s="13">
        <v>901129</v>
      </c>
      <c r="M14" s="13">
        <v>479781</v>
      </c>
      <c r="N14" s="13">
        <v>10661</v>
      </c>
      <c r="O14" s="13">
        <v>1173561</v>
      </c>
      <c r="P14" s="13">
        <v>179492</v>
      </c>
      <c r="Q14" s="13">
        <v>1263070</v>
      </c>
      <c r="R14" s="13">
        <v>2088425</v>
      </c>
      <c r="S14" s="13">
        <v>2055353</v>
      </c>
      <c r="T14" s="13">
        <v>1115850</v>
      </c>
      <c r="U14" s="13">
        <v>992497</v>
      </c>
      <c r="V14" s="13">
        <v>1604761</v>
      </c>
      <c r="W14" s="13">
        <v>116099</v>
      </c>
      <c r="X14" s="13">
        <v>3527712</v>
      </c>
      <c r="Y14" s="13">
        <v>4380206</v>
      </c>
      <c r="Z14" s="13">
        <v>6071455</v>
      </c>
      <c r="AA14" s="13">
        <v>299043</v>
      </c>
    </row>
    <row r="15" spans="1:29" ht="15.75" x14ac:dyDescent="0.25">
      <c r="A15" s="12">
        <v>43891</v>
      </c>
      <c r="B15" s="13">
        <v>27617246</v>
      </c>
      <c r="C15" s="44">
        <f>'Non-performing_after_2019'!B15</f>
        <v>2092554</v>
      </c>
      <c r="D15" s="50">
        <f t="shared" si="0"/>
        <v>7.5769828751208579E-2</v>
      </c>
      <c r="E15" s="13">
        <v>5981035</v>
      </c>
      <c r="F15" s="13">
        <v>925808</v>
      </c>
      <c r="G15" s="13">
        <v>86398</v>
      </c>
      <c r="H15" s="13">
        <v>217518</v>
      </c>
      <c r="I15" s="13">
        <v>807213</v>
      </c>
      <c r="J15" s="13">
        <v>414378</v>
      </c>
      <c r="K15" s="13">
        <v>348883</v>
      </c>
      <c r="L15" s="13">
        <v>907681</v>
      </c>
      <c r="M15" s="13">
        <v>478650</v>
      </c>
      <c r="N15" s="13">
        <v>12494</v>
      </c>
      <c r="O15" s="13">
        <v>1164336</v>
      </c>
      <c r="P15" s="13">
        <v>173544</v>
      </c>
      <c r="Q15" s="13">
        <v>1336936</v>
      </c>
      <c r="R15" s="13">
        <v>2104357</v>
      </c>
      <c r="S15" s="13">
        <v>2071125</v>
      </c>
      <c r="T15" s="13">
        <v>1134917</v>
      </c>
      <c r="U15" s="13">
        <v>1009579</v>
      </c>
      <c r="V15" s="13">
        <v>1680372</v>
      </c>
      <c r="W15" s="13">
        <v>110963</v>
      </c>
      <c r="X15" s="13">
        <v>3501067</v>
      </c>
      <c r="Y15" s="13">
        <v>4362471</v>
      </c>
      <c r="Z15" s="13">
        <v>6100201</v>
      </c>
      <c r="AA15" s="13">
        <v>293377</v>
      </c>
    </row>
    <row r="16" spans="1:29" ht="15.75" x14ac:dyDescent="0.25">
      <c r="A16" s="12">
        <v>43922</v>
      </c>
      <c r="B16" s="13">
        <v>28631946</v>
      </c>
      <c r="C16" s="44">
        <f>'Non-performing_after_2019'!B16</f>
        <v>2120195</v>
      </c>
      <c r="D16" s="50">
        <f t="shared" si="0"/>
        <v>7.4049978998982469E-2</v>
      </c>
      <c r="E16" s="13">
        <v>6257482</v>
      </c>
      <c r="F16" s="13">
        <v>936910</v>
      </c>
      <c r="G16" s="13">
        <v>89275</v>
      </c>
      <c r="H16" s="13">
        <v>199862</v>
      </c>
      <c r="I16" s="13">
        <v>934073</v>
      </c>
      <c r="J16" s="13">
        <v>438042</v>
      </c>
      <c r="K16" s="13">
        <v>352120</v>
      </c>
      <c r="L16" s="13">
        <v>927382</v>
      </c>
      <c r="M16" s="13">
        <v>490366</v>
      </c>
      <c r="N16" s="13">
        <v>12661</v>
      </c>
      <c r="O16" s="13">
        <v>1247908</v>
      </c>
      <c r="P16" s="13">
        <v>211547</v>
      </c>
      <c r="Q16" s="13">
        <v>1325834</v>
      </c>
      <c r="R16" s="13">
        <v>2146287</v>
      </c>
      <c r="S16" s="13">
        <v>2112928</v>
      </c>
      <c r="T16" s="13">
        <v>1201645</v>
      </c>
      <c r="U16" s="13">
        <v>1069669</v>
      </c>
      <c r="V16" s="13">
        <v>1779586</v>
      </c>
      <c r="W16" s="13">
        <v>144112</v>
      </c>
      <c r="X16" s="13">
        <v>3658912</v>
      </c>
      <c r="Y16" s="13">
        <v>4427170</v>
      </c>
      <c r="Z16" s="13">
        <v>6412823</v>
      </c>
      <c r="AA16" s="13">
        <v>288566</v>
      </c>
    </row>
    <row r="17" spans="1:27" ht="15.75" x14ac:dyDescent="0.25">
      <c r="A17" s="12">
        <v>43952</v>
      </c>
      <c r="B17" s="13">
        <v>29174897</v>
      </c>
      <c r="C17" s="44">
        <f>'Non-performing_after_2019'!B17</f>
        <v>2086226</v>
      </c>
      <c r="D17" s="50">
        <f t="shared" si="0"/>
        <v>7.1507570360916789E-2</v>
      </c>
      <c r="E17" s="13">
        <v>6432985</v>
      </c>
      <c r="F17" s="13">
        <v>948366</v>
      </c>
      <c r="G17" s="13">
        <v>88605</v>
      </c>
      <c r="H17" s="13">
        <v>201576</v>
      </c>
      <c r="I17" s="13">
        <v>972952</v>
      </c>
      <c r="J17" s="13">
        <v>456064</v>
      </c>
      <c r="K17" s="13">
        <v>356944</v>
      </c>
      <c r="L17" s="13">
        <v>1011544</v>
      </c>
      <c r="M17" s="13">
        <v>491226</v>
      </c>
      <c r="N17" s="13">
        <v>12527</v>
      </c>
      <c r="O17" s="13">
        <v>1254228</v>
      </c>
      <c r="P17" s="13">
        <v>214587</v>
      </c>
      <c r="Q17" s="13">
        <v>1360967</v>
      </c>
      <c r="R17" s="13">
        <v>2162417</v>
      </c>
      <c r="S17" s="13">
        <v>2129295</v>
      </c>
      <c r="T17" s="13">
        <v>1225670</v>
      </c>
      <c r="U17" s="13">
        <v>1090470</v>
      </c>
      <c r="V17" s="13">
        <v>1851617</v>
      </c>
      <c r="W17" s="13">
        <v>155783</v>
      </c>
      <c r="X17" s="13">
        <v>3659063</v>
      </c>
      <c r="Y17" s="13">
        <v>4618221</v>
      </c>
      <c r="Z17" s="13">
        <v>6471566</v>
      </c>
      <c r="AA17" s="13">
        <v>293218</v>
      </c>
    </row>
    <row r="18" spans="1:27" ht="15.75" x14ac:dyDescent="0.25">
      <c r="A18" s="12">
        <v>43983</v>
      </c>
      <c r="B18" s="13">
        <v>29019100</v>
      </c>
      <c r="C18" s="44">
        <f>'Non-performing_after_2019'!B18</f>
        <v>2090855</v>
      </c>
      <c r="D18" s="50">
        <f t="shared" si="0"/>
        <v>7.2050994000503119E-2</v>
      </c>
      <c r="E18" s="13">
        <v>6464693</v>
      </c>
      <c r="F18" s="13">
        <v>947403</v>
      </c>
      <c r="G18" s="13">
        <v>89339</v>
      </c>
      <c r="H18" s="13">
        <v>216233</v>
      </c>
      <c r="I18" s="13">
        <v>987674</v>
      </c>
      <c r="J18" s="13">
        <v>458023</v>
      </c>
      <c r="K18" s="13">
        <v>354080</v>
      </c>
      <c r="L18" s="13">
        <v>1008494</v>
      </c>
      <c r="M18" s="13">
        <v>487507</v>
      </c>
      <c r="N18" s="13">
        <v>10866</v>
      </c>
      <c r="O18" s="13">
        <v>1262670</v>
      </c>
      <c r="P18" s="13">
        <v>218807</v>
      </c>
      <c r="Q18" s="13">
        <v>1383117</v>
      </c>
      <c r="R18" s="13">
        <v>2177284</v>
      </c>
      <c r="S18" s="13">
        <v>2144287</v>
      </c>
      <c r="T18" s="13">
        <v>1230632</v>
      </c>
      <c r="U18" s="13">
        <v>1092803</v>
      </c>
      <c r="V18" s="13">
        <v>1870595</v>
      </c>
      <c r="W18" s="13">
        <v>151161</v>
      </c>
      <c r="X18" s="13">
        <v>3578644</v>
      </c>
      <c r="Y18" s="13">
        <v>4632011</v>
      </c>
      <c r="Z18" s="13">
        <v>6355188</v>
      </c>
      <c r="AA18" s="13">
        <v>249992</v>
      </c>
    </row>
    <row r="19" spans="1:27" ht="15.75" x14ac:dyDescent="0.25">
      <c r="A19" s="12">
        <v>44013</v>
      </c>
      <c r="B19" s="13">
        <v>29183956</v>
      </c>
      <c r="C19" s="44">
        <f>'Non-performing_after_2019'!B19</f>
        <v>2073145</v>
      </c>
      <c r="D19" s="50">
        <f t="shared" si="0"/>
        <v>7.1037147945261434E-2</v>
      </c>
      <c r="E19" s="13">
        <v>6457787</v>
      </c>
      <c r="F19" s="13">
        <v>922775</v>
      </c>
      <c r="G19" s="13">
        <v>89787</v>
      </c>
      <c r="H19" s="13">
        <v>208420</v>
      </c>
      <c r="I19" s="13">
        <v>1047416</v>
      </c>
      <c r="J19" s="13">
        <v>430619</v>
      </c>
      <c r="K19" s="13">
        <v>344469</v>
      </c>
      <c r="L19" s="13">
        <v>1018839</v>
      </c>
      <c r="M19" s="13">
        <v>481409</v>
      </c>
      <c r="N19" s="13">
        <v>10194</v>
      </c>
      <c r="O19" s="13">
        <v>1272423</v>
      </c>
      <c r="P19" s="13">
        <v>230420</v>
      </c>
      <c r="Q19" s="13">
        <v>1368077</v>
      </c>
      <c r="R19" s="13">
        <v>2212915</v>
      </c>
      <c r="S19" s="13">
        <v>2180012</v>
      </c>
      <c r="T19" s="13">
        <v>1274880</v>
      </c>
      <c r="U19" s="13">
        <v>1136554</v>
      </c>
      <c r="V19" s="13">
        <v>1921057</v>
      </c>
      <c r="W19" s="13">
        <v>148866</v>
      </c>
      <c r="X19" s="13">
        <v>3521292</v>
      </c>
      <c r="Y19" s="13">
        <v>4650978</v>
      </c>
      <c r="Z19" s="13">
        <v>6459185</v>
      </c>
      <c r="AA19" s="13">
        <v>251703</v>
      </c>
    </row>
    <row r="20" spans="1:27" ht="15.75" x14ac:dyDescent="0.25">
      <c r="A20" s="12">
        <v>44044</v>
      </c>
      <c r="B20" s="13">
        <v>29539941</v>
      </c>
      <c r="C20" s="44">
        <f>'Non-performing_after_2019'!B20</f>
        <v>2156163</v>
      </c>
      <c r="D20" s="50">
        <f t="shared" si="0"/>
        <v>7.299144571751176E-2</v>
      </c>
      <c r="E20" s="13">
        <v>6650721</v>
      </c>
      <c r="F20" s="13">
        <v>917076</v>
      </c>
      <c r="G20" s="13">
        <v>89648</v>
      </c>
      <c r="H20" s="13">
        <v>214136</v>
      </c>
      <c r="I20" s="13">
        <v>1181676</v>
      </c>
      <c r="J20" s="13">
        <v>497831</v>
      </c>
      <c r="K20" s="13">
        <v>341417</v>
      </c>
      <c r="L20" s="13">
        <v>1015357</v>
      </c>
      <c r="M20" s="13">
        <v>482757</v>
      </c>
      <c r="N20" s="13">
        <v>9158</v>
      </c>
      <c r="O20" s="13">
        <v>1262482</v>
      </c>
      <c r="P20" s="13">
        <v>222469</v>
      </c>
      <c r="Q20" s="13">
        <v>1379553</v>
      </c>
      <c r="R20" s="13">
        <v>2251167</v>
      </c>
      <c r="S20" s="13">
        <v>2211217</v>
      </c>
      <c r="T20" s="13">
        <v>1320510</v>
      </c>
      <c r="U20" s="13">
        <v>1177854</v>
      </c>
      <c r="V20" s="13">
        <v>1940129</v>
      </c>
      <c r="W20" s="13">
        <v>151086</v>
      </c>
      <c r="X20" s="13">
        <v>3491210</v>
      </c>
      <c r="Y20" s="13">
        <v>4749160</v>
      </c>
      <c r="Z20" s="13">
        <v>6457320</v>
      </c>
      <c r="AA20" s="13">
        <v>252545</v>
      </c>
    </row>
    <row r="21" spans="1:27" ht="15.75" x14ac:dyDescent="0.25">
      <c r="A21" s="12">
        <v>44075</v>
      </c>
      <c r="B21" s="13">
        <v>29919598</v>
      </c>
      <c r="C21" s="44">
        <f>'Non-performing_after_2019'!B21</f>
        <v>2141533</v>
      </c>
      <c r="D21" s="50">
        <f t="shared" si="0"/>
        <v>7.1576262488553491E-2</v>
      </c>
      <c r="E21" s="13">
        <v>6823410</v>
      </c>
      <c r="F21" s="13">
        <v>924120</v>
      </c>
      <c r="G21" s="13">
        <v>90721</v>
      </c>
      <c r="H21" s="13">
        <v>211214</v>
      </c>
      <c r="I21" s="13">
        <v>1316416</v>
      </c>
      <c r="J21" s="13">
        <v>498670</v>
      </c>
      <c r="K21" s="13">
        <v>337124</v>
      </c>
      <c r="L21" s="13">
        <v>1023337</v>
      </c>
      <c r="M21" s="13">
        <v>485439</v>
      </c>
      <c r="N21" s="13">
        <v>9833</v>
      </c>
      <c r="O21" s="13">
        <v>1273425</v>
      </c>
      <c r="P21" s="13">
        <v>223286</v>
      </c>
      <c r="Q21" s="13">
        <v>1405359</v>
      </c>
      <c r="R21" s="13">
        <v>2284603</v>
      </c>
      <c r="S21" s="13">
        <v>2244392</v>
      </c>
      <c r="T21" s="13">
        <v>1383128</v>
      </c>
      <c r="U21" s="13">
        <v>1239698</v>
      </c>
      <c r="V21" s="13">
        <v>1967495</v>
      </c>
      <c r="W21" s="13">
        <v>157224</v>
      </c>
      <c r="X21" s="13">
        <v>3471651</v>
      </c>
      <c r="Y21" s="13">
        <v>4775594</v>
      </c>
      <c r="Z21" s="13">
        <v>6523117</v>
      </c>
      <c r="AA21" s="13">
        <v>234548</v>
      </c>
    </row>
    <row r="22" spans="1:27" ht="15.75" x14ac:dyDescent="0.25">
      <c r="A22" s="12">
        <v>44105</v>
      </c>
      <c r="B22" s="13">
        <v>30279567</v>
      </c>
      <c r="C22" s="44">
        <f>'Non-performing_after_2019'!B22</f>
        <v>2125488</v>
      </c>
      <c r="D22" s="50">
        <f t="shared" si="0"/>
        <v>7.0195455569097134E-2</v>
      </c>
      <c r="E22" s="13">
        <v>6940177</v>
      </c>
      <c r="F22" s="13">
        <v>933918</v>
      </c>
      <c r="G22" s="13">
        <v>90082</v>
      </c>
      <c r="H22" s="13">
        <v>216221</v>
      </c>
      <c r="I22" s="13">
        <v>1403783</v>
      </c>
      <c r="J22" s="13">
        <v>543926</v>
      </c>
      <c r="K22" s="13">
        <v>334190</v>
      </c>
      <c r="L22" s="13">
        <v>978358</v>
      </c>
      <c r="M22" s="13">
        <v>488026</v>
      </c>
      <c r="N22" s="13">
        <v>9677</v>
      </c>
      <c r="O22" s="13">
        <v>1276180</v>
      </c>
      <c r="P22" s="13">
        <v>219648</v>
      </c>
      <c r="Q22" s="13">
        <v>1421225</v>
      </c>
      <c r="R22" s="13">
        <v>2290360</v>
      </c>
      <c r="S22" s="13">
        <v>2250023</v>
      </c>
      <c r="T22" s="13">
        <v>1403603</v>
      </c>
      <c r="U22" s="13">
        <v>1259173</v>
      </c>
      <c r="V22" s="13">
        <v>1972205</v>
      </c>
      <c r="W22" s="13">
        <v>152231</v>
      </c>
      <c r="X22" s="13">
        <v>3447201</v>
      </c>
      <c r="Y22" s="13">
        <v>4880998</v>
      </c>
      <c r="Z22" s="13">
        <v>6656233</v>
      </c>
      <c r="AA22" s="13">
        <v>241178</v>
      </c>
    </row>
    <row r="23" spans="1:27" ht="15.75" x14ac:dyDescent="0.25">
      <c r="A23" s="12">
        <v>44136</v>
      </c>
      <c r="B23" s="13">
        <v>30773965</v>
      </c>
      <c r="C23" s="44">
        <f>'Non-performing_after_2019'!B23</f>
        <v>2124213</v>
      </c>
      <c r="D23" s="50">
        <f t="shared" si="0"/>
        <v>6.9026301940617665E-2</v>
      </c>
      <c r="E23" s="13">
        <v>7096445</v>
      </c>
      <c r="F23" s="13">
        <v>971007</v>
      </c>
      <c r="G23" s="13">
        <v>88998</v>
      </c>
      <c r="H23" s="13">
        <v>219606</v>
      </c>
      <c r="I23" s="13">
        <v>1397457</v>
      </c>
      <c r="J23" s="13">
        <v>587739</v>
      </c>
      <c r="K23" s="13">
        <v>328360</v>
      </c>
      <c r="L23" s="13">
        <v>1011492</v>
      </c>
      <c r="M23" s="13">
        <v>492683</v>
      </c>
      <c r="N23" s="13">
        <v>8351</v>
      </c>
      <c r="O23" s="13">
        <v>1303797</v>
      </c>
      <c r="P23" s="13">
        <v>225814</v>
      </c>
      <c r="Q23" s="13">
        <v>1447616</v>
      </c>
      <c r="R23" s="13">
        <v>2289560</v>
      </c>
      <c r="S23" s="13">
        <v>2248948</v>
      </c>
      <c r="T23" s="13">
        <v>1436844</v>
      </c>
      <c r="U23" s="13">
        <v>1291625</v>
      </c>
      <c r="V23" s="13">
        <v>1949683</v>
      </c>
      <c r="W23" s="13">
        <v>173719</v>
      </c>
      <c r="X23" s="13">
        <v>3522206</v>
      </c>
      <c r="Y23" s="13">
        <v>5023534</v>
      </c>
      <c r="Z23" s="13">
        <v>6714067</v>
      </c>
      <c r="AA23" s="13">
        <v>260318</v>
      </c>
    </row>
    <row r="24" spans="1:27" ht="15.75" x14ac:dyDescent="0.25">
      <c r="A24" s="12">
        <v>44166</v>
      </c>
      <c r="B24" s="13">
        <v>30909971</v>
      </c>
      <c r="C24" s="44">
        <f>'Non-performing_after_2019'!B24</f>
        <v>2124396</v>
      </c>
      <c r="D24" s="50">
        <f t="shared" si="0"/>
        <v>6.872850188050969E-2</v>
      </c>
      <c r="E24" s="13">
        <v>7005683</v>
      </c>
      <c r="F24" s="13">
        <v>1018042</v>
      </c>
      <c r="G24" s="13">
        <v>70618</v>
      </c>
      <c r="H24" s="13">
        <v>264436</v>
      </c>
      <c r="I24" s="13">
        <v>1400832</v>
      </c>
      <c r="J24" s="13">
        <v>602408</v>
      </c>
      <c r="K24" s="13">
        <v>326109</v>
      </c>
      <c r="L24" s="13">
        <v>961066</v>
      </c>
      <c r="M24" s="13">
        <v>487718</v>
      </c>
      <c r="N24" s="13">
        <v>7714</v>
      </c>
      <c r="O24" s="13">
        <v>1177755</v>
      </c>
      <c r="P24" s="13">
        <v>248509</v>
      </c>
      <c r="Q24" s="13">
        <v>1477572</v>
      </c>
      <c r="R24" s="13">
        <v>2296892</v>
      </c>
      <c r="S24" s="13">
        <v>2256302</v>
      </c>
      <c r="T24" s="13">
        <v>1461185</v>
      </c>
      <c r="U24" s="13">
        <v>1315605</v>
      </c>
      <c r="V24" s="13">
        <v>1953084</v>
      </c>
      <c r="W24" s="13">
        <v>159874</v>
      </c>
      <c r="X24" s="13">
        <v>3590088</v>
      </c>
      <c r="Y24" s="13">
        <v>5107172</v>
      </c>
      <c r="Z24" s="13">
        <v>6703353</v>
      </c>
      <c r="AA24" s="13">
        <v>257704</v>
      </c>
    </row>
    <row r="25" spans="1:27" ht="15.75" x14ac:dyDescent="0.25">
      <c r="A25" s="12">
        <v>44197</v>
      </c>
      <c r="B25" s="13">
        <v>30610619</v>
      </c>
      <c r="C25" s="44">
        <f>'Non-performing_after_2019'!B25</f>
        <v>2156621</v>
      </c>
      <c r="D25" s="50">
        <f t="shared" si="0"/>
        <v>7.0453361299227565E-2</v>
      </c>
      <c r="E25" s="13">
        <v>6809900</v>
      </c>
      <c r="F25" s="13">
        <v>1037646</v>
      </c>
      <c r="G25" s="13">
        <v>74089</v>
      </c>
      <c r="H25" s="13">
        <v>258099</v>
      </c>
      <c r="I25" s="13">
        <v>1404139</v>
      </c>
      <c r="J25" s="13">
        <v>573635</v>
      </c>
      <c r="K25" s="13">
        <v>344356</v>
      </c>
      <c r="L25" s="13">
        <v>933929</v>
      </c>
      <c r="M25" s="13">
        <v>451412</v>
      </c>
      <c r="N25" s="13">
        <v>8537</v>
      </c>
      <c r="O25" s="13">
        <v>1053090</v>
      </c>
      <c r="P25" s="13">
        <v>229693</v>
      </c>
      <c r="Q25" s="13">
        <v>1480010</v>
      </c>
      <c r="R25" s="13">
        <v>2318356</v>
      </c>
      <c r="S25" s="13">
        <v>2277579</v>
      </c>
      <c r="T25" s="13">
        <v>1429019</v>
      </c>
      <c r="U25" s="13">
        <v>1296448</v>
      </c>
      <c r="V25" s="13">
        <v>1864148</v>
      </c>
      <c r="W25" s="13">
        <v>160750</v>
      </c>
      <c r="X25" s="13">
        <v>3451370</v>
      </c>
      <c r="Y25" s="13">
        <v>5208621</v>
      </c>
      <c r="Z25" s="13">
        <v>6614474</v>
      </c>
      <c r="AA25" s="13">
        <v>283791</v>
      </c>
    </row>
    <row r="26" spans="1:27" ht="15.75" x14ac:dyDescent="0.25">
      <c r="A26" s="12">
        <v>44228</v>
      </c>
      <c r="B26" s="13">
        <v>30676164</v>
      </c>
      <c r="C26" s="44">
        <f>'Non-performing_after_2019'!B26</f>
        <v>2160344</v>
      </c>
      <c r="D26" s="50">
        <f t="shared" si="0"/>
        <v>7.0424189934569392E-2</v>
      </c>
      <c r="E26" s="13">
        <v>6853732</v>
      </c>
      <c r="F26" s="13">
        <v>1044561</v>
      </c>
      <c r="G26" s="13">
        <v>75411</v>
      </c>
      <c r="H26" s="13">
        <v>274717</v>
      </c>
      <c r="I26" s="13">
        <v>1386382</v>
      </c>
      <c r="J26" s="13">
        <v>575057</v>
      </c>
      <c r="K26" s="13">
        <v>345952</v>
      </c>
      <c r="L26" s="13">
        <v>946867</v>
      </c>
      <c r="M26" s="13">
        <v>446171</v>
      </c>
      <c r="N26" s="13">
        <v>9087</v>
      </c>
      <c r="O26" s="13">
        <v>1070268</v>
      </c>
      <c r="P26" s="13">
        <v>243513</v>
      </c>
      <c r="Q26" s="13">
        <v>1487095</v>
      </c>
      <c r="R26" s="13">
        <v>2347679</v>
      </c>
      <c r="S26" s="13">
        <v>2307273</v>
      </c>
      <c r="T26" s="13">
        <v>1434726</v>
      </c>
      <c r="U26" s="13">
        <v>1297202</v>
      </c>
      <c r="V26" s="13">
        <v>1908325</v>
      </c>
      <c r="W26" s="13">
        <v>163743</v>
      </c>
      <c r="X26" s="13">
        <v>3453728</v>
      </c>
      <c r="Y26" s="13">
        <v>5208361</v>
      </c>
      <c r="Z26" s="13">
        <v>6569451</v>
      </c>
      <c r="AA26" s="13">
        <v>253851</v>
      </c>
    </row>
    <row r="27" spans="1:27" ht="15.75" x14ac:dyDescent="0.25">
      <c r="A27" s="12">
        <v>44256</v>
      </c>
      <c r="B27" s="13">
        <v>30843854</v>
      </c>
      <c r="C27" s="44">
        <f>'Non-performing_after_2019'!B27</f>
        <v>2113886</v>
      </c>
      <c r="D27" s="50">
        <f t="shared" si="0"/>
        <v>6.8535079954664554E-2</v>
      </c>
      <c r="E27" s="13">
        <v>6966048</v>
      </c>
      <c r="F27" s="13">
        <v>1064386</v>
      </c>
      <c r="G27" s="13">
        <v>78973</v>
      </c>
      <c r="H27" s="13">
        <v>295809</v>
      </c>
      <c r="I27" s="13">
        <v>1285324</v>
      </c>
      <c r="J27" s="13">
        <v>615160</v>
      </c>
      <c r="K27" s="13">
        <v>356540</v>
      </c>
      <c r="L27" s="13">
        <v>969818</v>
      </c>
      <c r="M27" s="13">
        <v>464466</v>
      </c>
      <c r="N27" s="13">
        <v>9624</v>
      </c>
      <c r="O27" s="13">
        <v>1074360</v>
      </c>
      <c r="P27" s="13">
        <v>234303</v>
      </c>
      <c r="Q27" s="13">
        <v>1472825</v>
      </c>
      <c r="R27" s="13">
        <v>2331052</v>
      </c>
      <c r="S27" s="13">
        <v>2292495</v>
      </c>
      <c r="T27" s="13">
        <v>1530252</v>
      </c>
      <c r="U27" s="13">
        <v>1397257</v>
      </c>
      <c r="V27" s="13">
        <v>1970100</v>
      </c>
      <c r="W27" s="13">
        <v>163184</v>
      </c>
      <c r="X27" s="13">
        <v>3400920</v>
      </c>
      <c r="Y27" s="13">
        <v>5065008</v>
      </c>
      <c r="Z27" s="13">
        <v>6638531</v>
      </c>
      <c r="AA27" s="13">
        <v>284498</v>
      </c>
    </row>
    <row r="28" spans="1:27" ht="15.75" x14ac:dyDescent="0.25">
      <c r="A28" s="12">
        <v>44287</v>
      </c>
      <c r="B28" s="13">
        <v>31216847</v>
      </c>
      <c r="C28" s="44">
        <f>'Non-performing_after_2019'!B28</f>
        <v>2106360</v>
      </c>
      <c r="D28" s="50">
        <f t="shared" si="0"/>
        <v>6.7475104068005332E-2</v>
      </c>
      <c r="E28" s="13">
        <v>7060379</v>
      </c>
      <c r="F28" s="13">
        <v>1070410</v>
      </c>
      <c r="G28" s="13">
        <v>83138</v>
      </c>
      <c r="H28" s="13">
        <v>291711</v>
      </c>
      <c r="I28" s="13">
        <v>1287084</v>
      </c>
      <c r="J28" s="13">
        <v>632567</v>
      </c>
      <c r="K28" s="13">
        <v>355976</v>
      </c>
      <c r="L28" s="13">
        <v>976365</v>
      </c>
      <c r="M28" s="13">
        <v>467929</v>
      </c>
      <c r="N28" s="13">
        <v>11012</v>
      </c>
      <c r="O28" s="13">
        <v>1130484</v>
      </c>
      <c r="P28" s="13">
        <v>241027</v>
      </c>
      <c r="Q28" s="13">
        <v>1435388</v>
      </c>
      <c r="R28" s="13">
        <v>2358787</v>
      </c>
      <c r="S28" s="13">
        <v>2320624</v>
      </c>
      <c r="T28" s="13">
        <v>1575748</v>
      </c>
      <c r="U28" s="13">
        <v>1440922</v>
      </c>
      <c r="V28" s="13">
        <v>1942035</v>
      </c>
      <c r="W28" s="13">
        <v>161853</v>
      </c>
      <c r="X28" s="13">
        <v>3414025</v>
      </c>
      <c r="Y28" s="13">
        <v>5189140</v>
      </c>
      <c r="Z28" s="13">
        <v>6733224</v>
      </c>
      <c r="AA28" s="13">
        <v>285828</v>
      </c>
    </row>
    <row r="29" spans="1:27" ht="15.75" x14ac:dyDescent="0.25">
      <c r="A29" s="12">
        <v>44317</v>
      </c>
      <c r="B29" s="13">
        <v>31872494</v>
      </c>
      <c r="C29" s="44">
        <f>'Non-performing_after_2019'!B29</f>
        <v>2106848</v>
      </c>
      <c r="D29" s="50">
        <f t="shared" si="0"/>
        <v>6.6102389100771347E-2</v>
      </c>
      <c r="E29" s="13">
        <v>7137582</v>
      </c>
      <c r="F29" s="13">
        <v>1140600</v>
      </c>
      <c r="G29" s="13">
        <v>86663</v>
      </c>
      <c r="H29" s="13">
        <v>295534</v>
      </c>
      <c r="I29" s="13">
        <v>1285107</v>
      </c>
      <c r="J29" s="13">
        <v>635266</v>
      </c>
      <c r="K29" s="13">
        <v>355928</v>
      </c>
      <c r="L29" s="13">
        <v>968314</v>
      </c>
      <c r="M29" s="13">
        <v>466941</v>
      </c>
      <c r="N29" s="13">
        <v>8829</v>
      </c>
      <c r="O29" s="13">
        <v>1133002</v>
      </c>
      <c r="P29" s="13">
        <v>238018</v>
      </c>
      <c r="Q29" s="13">
        <v>1447883</v>
      </c>
      <c r="R29" s="13">
        <v>2399690</v>
      </c>
      <c r="S29" s="13">
        <v>2362179</v>
      </c>
      <c r="T29" s="13">
        <v>1674254</v>
      </c>
      <c r="U29" s="13">
        <v>1537668</v>
      </c>
      <c r="V29" s="13">
        <v>1965365</v>
      </c>
      <c r="W29" s="13">
        <v>155815</v>
      </c>
      <c r="X29" s="13">
        <v>3424145</v>
      </c>
      <c r="Y29" s="13">
        <v>5313873</v>
      </c>
      <c r="Z29" s="13">
        <v>6869875</v>
      </c>
      <c r="AA29" s="13">
        <v>314953</v>
      </c>
    </row>
    <row r="30" spans="1:27" ht="15.75" x14ac:dyDescent="0.25">
      <c r="A30" s="12">
        <v>44348</v>
      </c>
      <c r="B30" s="13">
        <v>32387153</v>
      </c>
      <c r="C30" s="44">
        <f>'Non-performing_after_2019'!B30</f>
        <v>2185355</v>
      </c>
      <c r="D30" s="50">
        <f t="shared" si="0"/>
        <v>6.7475983455538679E-2</v>
      </c>
      <c r="E30" s="13">
        <v>7201295</v>
      </c>
      <c r="F30" s="13">
        <v>1136546</v>
      </c>
      <c r="G30" s="13">
        <v>102908</v>
      </c>
      <c r="H30" s="13">
        <v>294876</v>
      </c>
      <c r="I30" s="13">
        <v>1298432</v>
      </c>
      <c r="J30" s="13">
        <v>650175</v>
      </c>
      <c r="K30" s="13">
        <v>355333</v>
      </c>
      <c r="L30" s="13">
        <v>959133</v>
      </c>
      <c r="M30" s="13">
        <v>450996</v>
      </c>
      <c r="N30" s="13">
        <v>10264</v>
      </c>
      <c r="O30" s="13">
        <v>1160035</v>
      </c>
      <c r="P30" s="13">
        <v>244936</v>
      </c>
      <c r="Q30" s="13">
        <v>1458624</v>
      </c>
      <c r="R30" s="13">
        <v>2426325</v>
      </c>
      <c r="S30" s="13">
        <v>2388793</v>
      </c>
      <c r="T30" s="13">
        <v>1739021</v>
      </c>
      <c r="U30" s="13">
        <v>1595513</v>
      </c>
      <c r="V30" s="13">
        <v>2033016</v>
      </c>
      <c r="W30" s="13">
        <v>147236</v>
      </c>
      <c r="X30" s="13">
        <v>3489684</v>
      </c>
      <c r="Y30" s="13">
        <v>5459907</v>
      </c>
      <c r="Z30" s="13">
        <v>6941056</v>
      </c>
      <c r="AA30" s="13">
        <v>303170</v>
      </c>
    </row>
    <row r="31" spans="1:27" ht="15.75" x14ac:dyDescent="0.25">
      <c r="A31" s="12">
        <v>44378</v>
      </c>
      <c r="B31" s="13">
        <v>33127466</v>
      </c>
      <c r="C31" s="44">
        <f>'Non-performing_after_2019'!B31</f>
        <v>2729296</v>
      </c>
      <c r="D31" s="50">
        <f t="shared" si="0"/>
        <v>8.2387708133184717E-2</v>
      </c>
      <c r="E31" s="13">
        <v>7254613</v>
      </c>
      <c r="F31" s="13">
        <v>1172562</v>
      </c>
      <c r="G31" s="13">
        <v>103687</v>
      </c>
      <c r="H31" s="13">
        <v>295457</v>
      </c>
      <c r="I31" s="13">
        <v>1241252</v>
      </c>
      <c r="J31" s="13">
        <v>671284</v>
      </c>
      <c r="K31" s="13">
        <v>351540</v>
      </c>
      <c r="L31" s="13">
        <v>973317</v>
      </c>
      <c r="M31" s="13">
        <v>459236</v>
      </c>
      <c r="N31" s="13">
        <v>10184</v>
      </c>
      <c r="O31" s="13">
        <v>1182947</v>
      </c>
      <c r="P31" s="13">
        <v>245653</v>
      </c>
      <c r="Q31" s="13">
        <v>1469142</v>
      </c>
      <c r="R31" s="13">
        <v>2453831</v>
      </c>
      <c r="S31" s="13">
        <v>2416086</v>
      </c>
      <c r="T31" s="13">
        <v>1795452</v>
      </c>
      <c r="U31" s="13">
        <v>1641811</v>
      </c>
      <c r="V31" s="13">
        <v>2066915</v>
      </c>
      <c r="W31" s="13">
        <v>147670</v>
      </c>
      <c r="X31" s="13">
        <v>3517460</v>
      </c>
      <c r="Y31" s="13">
        <v>5754383</v>
      </c>
      <c r="Z31" s="13">
        <v>7073280</v>
      </c>
      <c r="AA31" s="13">
        <v>313805</v>
      </c>
    </row>
    <row r="32" spans="1:27" ht="15.75" x14ac:dyDescent="0.25">
      <c r="A32" s="12">
        <v>44409</v>
      </c>
      <c r="B32" s="13">
        <v>33869413</v>
      </c>
      <c r="C32" s="44">
        <f>'Non-performing_after_2019'!B32</f>
        <v>2652287</v>
      </c>
      <c r="D32" s="50">
        <f t="shared" si="0"/>
        <v>7.8309210732409207E-2</v>
      </c>
      <c r="E32" s="13">
        <v>7318907</v>
      </c>
      <c r="F32" s="13">
        <v>1227009</v>
      </c>
      <c r="G32" s="13">
        <v>109023</v>
      </c>
      <c r="H32" s="13">
        <v>297419</v>
      </c>
      <c r="I32" s="13">
        <v>1239704</v>
      </c>
      <c r="J32" s="13">
        <v>689255</v>
      </c>
      <c r="K32" s="13">
        <v>282312</v>
      </c>
      <c r="L32" s="13">
        <v>949100</v>
      </c>
      <c r="M32" s="13">
        <v>471888</v>
      </c>
      <c r="N32" s="13">
        <v>10432</v>
      </c>
      <c r="O32" s="13">
        <v>1224657</v>
      </c>
      <c r="P32" s="13">
        <v>244515</v>
      </c>
      <c r="Q32" s="13">
        <v>1494616</v>
      </c>
      <c r="R32" s="13">
        <v>2459634</v>
      </c>
      <c r="S32" s="13">
        <v>2421970</v>
      </c>
      <c r="T32" s="13">
        <v>1875828</v>
      </c>
      <c r="U32" s="13">
        <v>1713930</v>
      </c>
      <c r="V32" s="13">
        <v>2069828</v>
      </c>
      <c r="W32" s="13">
        <v>147606</v>
      </c>
      <c r="X32" s="13">
        <v>3604155</v>
      </c>
      <c r="Y32" s="13">
        <v>5936519</v>
      </c>
      <c r="Z32" s="13">
        <v>7240719</v>
      </c>
      <c r="AA32" s="13">
        <v>327482</v>
      </c>
    </row>
    <row r="33" spans="1:27" ht="15.75" x14ac:dyDescent="0.25">
      <c r="A33" s="12">
        <v>44440</v>
      </c>
      <c r="B33" s="13">
        <v>34257994</v>
      </c>
      <c r="C33" s="44">
        <f>'Non-performing_after_2019'!B33</f>
        <v>2681390</v>
      </c>
      <c r="D33" s="50">
        <f t="shared" si="0"/>
        <v>7.827049067730002E-2</v>
      </c>
      <c r="E33" s="13">
        <v>7425480</v>
      </c>
      <c r="F33" s="13">
        <v>1234974</v>
      </c>
      <c r="G33" s="13">
        <v>110424</v>
      </c>
      <c r="H33" s="13">
        <v>292479</v>
      </c>
      <c r="I33" s="13">
        <v>1238820</v>
      </c>
      <c r="J33" s="13">
        <v>746248</v>
      </c>
      <c r="K33" s="13">
        <v>280041</v>
      </c>
      <c r="L33" s="13">
        <v>947533</v>
      </c>
      <c r="M33" s="13">
        <v>467195</v>
      </c>
      <c r="N33" s="13">
        <v>11063</v>
      </c>
      <c r="O33" s="13">
        <v>1263068</v>
      </c>
      <c r="P33" s="13">
        <v>253353</v>
      </c>
      <c r="Q33" s="13">
        <v>1538312</v>
      </c>
      <c r="R33" s="13">
        <v>2448141</v>
      </c>
      <c r="S33" s="13">
        <v>2410592</v>
      </c>
      <c r="T33" s="13">
        <v>1972997</v>
      </c>
      <c r="U33" s="13">
        <v>1809235</v>
      </c>
      <c r="V33" s="13">
        <v>1971918</v>
      </c>
      <c r="W33" s="13">
        <v>146627</v>
      </c>
      <c r="X33" s="13">
        <v>3630334</v>
      </c>
      <c r="Y33" s="13">
        <v>6194481</v>
      </c>
      <c r="Z33" s="13">
        <v>7219907</v>
      </c>
      <c r="AA33" s="13">
        <v>316671</v>
      </c>
    </row>
    <row r="34" spans="1:27" ht="15.75" x14ac:dyDescent="0.25">
      <c r="A34" s="12">
        <v>44470</v>
      </c>
      <c r="B34" s="13">
        <v>34860879</v>
      </c>
      <c r="C34" s="44">
        <f>'Non-performing_after_2019'!B34</f>
        <v>2662583</v>
      </c>
      <c r="D34" s="50">
        <f t="shared" si="0"/>
        <v>7.6377391401978134E-2</v>
      </c>
      <c r="E34" s="13">
        <v>7552398</v>
      </c>
      <c r="F34" s="13">
        <v>1238465</v>
      </c>
      <c r="G34" s="13">
        <v>112340</v>
      </c>
      <c r="H34" s="13">
        <v>292373</v>
      </c>
      <c r="I34" s="13">
        <v>1228632</v>
      </c>
      <c r="J34" s="13">
        <v>839780</v>
      </c>
      <c r="K34" s="13">
        <v>273506</v>
      </c>
      <c r="L34" s="13">
        <v>937562</v>
      </c>
      <c r="M34" s="13">
        <v>473540</v>
      </c>
      <c r="N34" s="13">
        <v>10970</v>
      </c>
      <c r="O34" s="13">
        <v>1288317</v>
      </c>
      <c r="P34" s="13">
        <v>264565</v>
      </c>
      <c r="Q34" s="13">
        <v>1547848</v>
      </c>
      <c r="R34" s="13">
        <v>2445595</v>
      </c>
      <c r="S34" s="13">
        <v>2408040</v>
      </c>
      <c r="T34" s="13">
        <v>2066944</v>
      </c>
      <c r="U34" s="13">
        <v>1897709</v>
      </c>
      <c r="V34" s="13">
        <v>1939393</v>
      </c>
      <c r="W34" s="13">
        <v>146619</v>
      </c>
      <c r="X34" s="13">
        <v>3724176</v>
      </c>
      <c r="Y34" s="13">
        <v>6374251</v>
      </c>
      <c r="Z34" s="13">
        <v>7346445</v>
      </c>
      <c r="AA34" s="13">
        <v>339560</v>
      </c>
    </row>
    <row r="35" spans="1:27" ht="15.75" x14ac:dyDescent="0.25">
      <c r="A35" s="12">
        <v>44501</v>
      </c>
      <c r="B35" s="13">
        <v>35624207</v>
      </c>
      <c r="C35" s="44">
        <f>'Non-performing_after_2019'!B35</f>
        <v>2673412</v>
      </c>
      <c r="D35" s="50">
        <f t="shared" si="0"/>
        <v>7.5044814330884613E-2</v>
      </c>
      <c r="E35" s="13">
        <v>7729245</v>
      </c>
      <c r="F35" s="13">
        <v>1279091</v>
      </c>
      <c r="G35" s="13">
        <v>114693</v>
      </c>
      <c r="H35" s="13">
        <v>292296</v>
      </c>
      <c r="I35" s="13">
        <v>1236929</v>
      </c>
      <c r="J35" s="13">
        <v>902051</v>
      </c>
      <c r="K35" s="13">
        <v>273799</v>
      </c>
      <c r="L35" s="13">
        <v>925424</v>
      </c>
      <c r="M35" s="13">
        <v>485391</v>
      </c>
      <c r="N35" s="13">
        <v>11146</v>
      </c>
      <c r="O35" s="13">
        <v>1329470</v>
      </c>
      <c r="P35" s="13">
        <v>254438</v>
      </c>
      <c r="Q35" s="13">
        <v>1584920</v>
      </c>
      <c r="R35" s="13">
        <v>2465119</v>
      </c>
      <c r="S35" s="13">
        <v>2427616</v>
      </c>
      <c r="T35" s="13">
        <v>2151311</v>
      </c>
      <c r="U35" s="13">
        <v>1979621</v>
      </c>
      <c r="V35" s="13">
        <v>1958001</v>
      </c>
      <c r="W35" s="13">
        <v>141026</v>
      </c>
      <c r="X35" s="13">
        <v>3842256</v>
      </c>
      <c r="Y35" s="13">
        <v>6494657</v>
      </c>
      <c r="Z35" s="13">
        <v>7495148</v>
      </c>
      <c r="AA35" s="13">
        <v>348256</v>
      </c>
    </row>
    <row r="36" spans="1:27" ht="15.75" x14ac:dyDescent="0.25">
      <c r="A36" s="12">
        <v>44531</v>
      </c>
      <c r="B36" s="13">
        <v>36078402</v>
      </c>
      <c r="C36" s="44">
        <f>'Non-performing_after_2019'!B36</f>
        <v>2803041</v>
      </c>
      <c r="D36" s="50">
        <f t="shared" si="0"/>
        <v>7.7693047491404973E-2</v>
      </c>
      <c r="E36" s="13">
        <v>7791840</v>
      </c>
      <c r="F36" s="13">
        <v>1302480</v>
      </c>
      <c r="G36" s="13">
        <v>115753</v>
      </c>
      <c r="H36" s="13">
        <v>293676</v>
      </c>
      <c r="I36" s="13">
        <v>1238882</v>
      </c>
      <c r="J36" s="13">
        <v>927679</v>
      </c>
      <c r="K36" s="13">
        <v>276384</v>
      </c>
      <c r="L36" s="13">
        <v>911853</v>
      </c>
      <c r="M36" s="13">
        <v>481234</v>
      </c>
      <c r="N36" s="13">
        <v>11454</v>
      </c>
      <c r="O36" s="13">
        <v>1337899</v>
      </c>
      <c r="P36" s="13">
        <v>246455</v>
      </c>
      <c r="Q36" s="13">
        <v>1572602</v>
      </c>
      <c r="R36" s="13">
        <v>2470210</v>
      </c>
      <c r="S36" s="13">
        <v>2432944</v>
      </c>
      <c r="T36" s="13">
        <v>2182869</v>
      </c>
      <c r="U36" s="13">
        <v>2008208</v>
      </c>
      <c r="V36" s="13">
        <v>1973312</v>
      </c>
      <c r="W36" s="13">
        <v>141952</v>
      </c>
      <c r="X36" s="13">
        <v>3931311</v>
      </c>
      <c r="Y36" s="13">
        <v>6640529</v>
      </c>
      <c r="Z36" s="13">
        <v>7627253</v>
      </c>
      <c r="AA36" s="13">
        <v>347850</v>
      </c>
    </row>
    <row r="37" spans="1:27" ht="15.75" x14ac:dyDescent="0.25">
      <c r="A37" s="12">
        <v>44562</v>
      </c>
      <c r="B37" s="13">
        <v>36264352</v>
      </c>
      <c r="C37" s="44">
        <f>'Non-performing_after_2019'!B37</f>
        <v>2760585</v>
      </c>
      <c r="D37" s="50">
        <f t="shared" si="0"/>
        <v>7.6123930189073832E-2</v>
      </c>
      <c r="E37" s="13">
        <v>7871011</v>
      </c>
      <c r="F37" s="13">
        <v>1320297</v>
      </c>
      <c r="G37" s="13">
        <v>120311</v>
      </c>
      <c r="H37" s="13">
        <v>302329</v>
      </c>
      <c r="I37" s="13">
        <v>1278851</v>
      </c>
      <c r="J37" s="13">
        <v>969480</v>
      </c>
      <c r="K37" s="13">
        <v>276383</v>
      </c>
      <c r="L37" s="13">
        <v>920018</v>
      </c>
      <c r="M37" s="13">
        <v>454832</v>
      </c>
      <c r="N37" s="13">
        <v>10895</v>
      </c>
      <c r="O37" s="13">
        <v>1318833</v>
      </c>
      <c r="P37" s="13">
        <v>235356</v>
      </c>
      <c r="Q37" s="13">
        <v>1575870</v>
      </c>
      <c r="R37" s="13">
        <v>2498861</v>
      </c>
      <c r="S37" s="13">
        <v>2461038</v>
      </c>
      <c r="T37" s="13">
        <v>2130939</v>
      </c>
      <c r="U37" s="13">
        <v>1966964</v>
      </c>
      <c r="V37" s="13">
        <v>1957887</v>
      </c>
      <c r="W37" s="13">
        <v>171128</v>
      </c>
      <c r="X37" s="13">
        <v>3916424</v>
      </c>
      <c r="Y37" s="13">
        <v>6642313</v>
      </c>
      <c r="Z37" s="13">
        <v>7797991</v>
      </c>
      <c r="AA37" s="13">
        <v>357696</v>
      </c>
    </row>
    <row r="38" spans="1:27" ht="15.75" x14ac:dyDescent="0.25">
      <c r="A38" s="12">
        <v>44593</v>
      </c>
      <c r="B38" s="13">
        <v>36454478</v>
      </c>
      <c r="C38" s="44">
        <f>'Non-performing_after_2019'!B38</f>
        <v>2742508</v>
      </c>
      <c r="D38" s="50">
        <f t="shared" si="0"/>
        <v>7.5231031973630236E-2</v>
      </c>
      <c r="E38" s="13">
        <v>8144760</v>
      </c>
      <c r="F38" s="13">
        <v>1366724</v>
      </c>
      <c r="G38" s="13">
        <v>119991</v>
      </c>
      <c r="H38" s="13">
        <v>304986</v>
      </c>
      <c r="I38" s="13">
        <v>1379404</v>
      </c>
      <c r="J38" s="13">
        <v>998932</v>
      </c>
      <c r="K38" s="13">
        <v>287922</v>
      </c>
      <c r="L38" s="13">
        <v>926105</v>
      </c>
      <c r="M38" s="13">
        <v>471708</v>
      </c>
      <c r="N38" s="13">
        <v>12433</v>
      </c>
      <c r="O38" s="13">
        <v>1369437</v>
      </c>
      <c r="P38" s="13">
        <v>259228</v>
      </c>
      <c r="Q38" s="13">
        <v>1640319</v>
      </c>
      <c r="R38" s="13">
        <v>2494146</v>
      </c>
      <c r="S38" s="13">
        <v>2455453</v>
      </c>
      <c r="T38" s="13">
        <v>2179309</v>
      </c>
      <c r="U38" s="13">
        <v>2016278</v>
      </c>
      <c r="V38" s="13">
        <v>2010092</v>
      </c>
      <c r="W38" s="13">
        <v>173579</v>
      </c>
      <c r="X38" s="13">
        <v>4064577</v>
      </c>
      <c r="Y38" s="13">
        <v>6341159</v>
      </c>
      <c r="Z38" s="13">
        <v>7764104</v>
      </c>
      <c r="AA38" s="13">
        <v>338255</v>
      </c>
    </row>
    <row r="39" spans="1:27" ht="15.75" x14ac:dyDescent="0.25">
      <c r="A39" s="12">
        <v>44621</v>
      </c>
      <c r="B39" s="13">
        <v>37650574</v>
      </c>
      <c r="C39" s="44">
        <f>'Non-performing_after_2019'!B39</f>
        <v>2724519</v>
      </c>
      <c r="D39" s="50">
        <f t="shared" si="0"/>
        <v>7.2363279242435991E-2</v>
      </c>
      <c r="E39" s="13">
        <v>8513980</v>
      </c>
      <c r="F39" s="13">
        <v>1421744</v>
      </c>
      <c r="G39" s="13">
        <v>122308</v>
      </c>
      <c r="H39" s="13">
        <v>305939</v>
      </c>
      <c r="I39" s="13">
        <v>1366140</v>
      </c>
      <c r="J39" s="13">
        <v>1083494</v>
      </c>
      <c r="K39" s="13">
        <v>293224</v>
      </c>
      <c r="L39" s="13">
        <v>1116081</v>
      </c>
      <c r="M39" s="13">
        <v>465726</v>
      </c>
      <c r="N39" s="13">
        <v>12188</v>
      </c>
      <c r="O39" s="13">
        <v>1400946</v>
      </c>
      <c r="P39" s="13">
        <v>280674</v>
      </c>
      <c r="Q39" s="13">
        <v>1636880</v>
      </c>
      <c r="R39" s="13">
        <v>2472482</v>
      </c>
      <c r="S39" s="13">
        <v>2433896</v>
      </c>
      <c r="T39" s="13">
        <v>2289222</v>
      </c>
      <c r="U39" s="13">
        <v>2115946</v>
      </c>
      <c r="V39" s="13">
        <v>2142864</v>
      </c>
      <c r="W39" s="13">
        <v>173444</v>
      </c>
      <c r="X39" s="13">
        <v>4179113</v>
      </c>
      <c r="Y39" s="13">
        <v>6576553</v>
      </c>
      <c r="Z39" s="13">
        <v>7880870</v>
      </c>
      <c r="AA39" s="13">
        <v>389277</v>
      </c>
    </row>
    <row r="40" spans="1:27" ht="15.75" x14ac:dyDescent="0.25">
      <c r="A40" s="12">
        <v>44652</v>
      </c>
      <c r="B40" s="13">
        <v>38047441</v>
      </c>
      <c r="C40" s="44">
        <f>'Non-performing_after_2019'!B40</f>
        <v>2916571</v>
      </c>
      <c r="D40" s="50">
        <f t="shared" si="0"/>
        <v>7.6656167230800099E-2</v>
      </c>
      <c r="E40" s="13">
        <v>8619499</v>
      </c>
      <c r="F40" s="13">
        <v>1408362</v>
      </c>
      <c r="G40" s="13">
        <v>124031</v>
      </c>
      <c r="H40" s="13">
        <v>306419</v>
      </c>
      <c r="I40" s="13">
        <v>1373024</v>
      </c>
      <c r="J40" s="13">
        <v>1103970</v>
      </c>
      <c r="K40" s="13">
        <v>298140</v>
      </c>
      <c r="L40" s="13">
        <v>1192739</v>
      </c>
      <c r="M40" s="13">
        <v>467563</v>
      </c>
      <c r="N40" s="13">
        <v>11828</v>
      </c>
      <c r="O40" s="13">
        <v>1402381</v>
      </c>
      <c r="P40" s="13">
        <v>266101</v>
      </c>
      <c r="Q40" s="13">
        <v>1571826</v>
      </c>
      <c r="R40" s="13">
        <v>2506005</v>
      </c>
      <c r="S40" s="13">
        <v>2467854</v>
      </c>
      <c r="T40" s="13">
        <v>2336144</v>
      </c>
      <c r="U40" s="13">
        <v>2162294</v>
      </c>
      <c r="V40" s="13">
        <v>2133400</v>
      </c>
      <c r="W40" s="13">
        <v>174516</v>
      </c>
      <c r="X40" s="13">
        <v>4274430</v>
      </c>
      <c r="Y40" s="13">
        <v>6663234</v>
      </c>
      <c r="Z40" s="13">
        <v>7884923</v>
      </c>
      <c r="AA40" s="13">
        <v>345103</v>
      </c>
    </row>
    <row r="41" spans="1:27" ht="15.75" x14ac:dyDescent="0.25">
      <c r="A41" s="12">
        <v>44682</v>
      </c>
      <c r="B41" s="13">
        <v>38816199</v>
      </c>
      <c r="C41" s="44">
        <f>'Non-performing_after_2019'!B41</f>
        <v>2868037</v>
      </c>
      <c r="D41" s="50">
        <f t="shared" si="0"/>
        <v>7.3887631295377482E-2</v>
      </c>
      <c r="E41" s="13">
        <v>8786002</v>
      </c>
      <c r="F41" s="13">
        <v>1440593</v>
      </c>
      <c r="G41" s="13">
        <v>129336</v>
      </c>
      <c r="H41" s="13">
        <v>308025</v>
      </c>
      <c r="I41" s="13">
        <v>1383593</v>
      </c>
      <c r="J41" s="13">
        <v>1167059</v>
      </c>
      <c r="K41" s="13">
        <v>311778</v>
      </c>
      <c r="L41" s="13">
        <v>1132760</v>
      </c>
      <c r="M41" s="13">
        <v>491738</v>
      </c>
      <c r="N41" s="13">
        <v>12102</v>
      </c>
      <c r="O41" s="13">
        <v>1445859</v>
      </c>
      <c r="P41" s="13">
        <v>272826</v>
      </c>
      <c r="Q41" s="13">
        <v>1556036</v>
      </c>
      <c r="R41" s="13">
        <v>2588892</v>
      </c>
      <c r="S41" s="13">
        <v>2551029</v>
      </c>
      <c r="T41" s="13">
        <v>2414343</v>
      </c>
      <c r="U41" s="13">
        <v>2228926</v>
      </c>
      <c r="V41" s="13">
        <v>2217175</v>
      </c>
      <c r="W41" s="13">
        <v>202863</v>
      </c>
      <c r="X41" s="13">
        <v>4265187</v>
      </c>
      <c r="Y41" s="13">
        <v>6801525</v>
      </c>
      <c r="Z41" s="13">
        <v>8067100</v>
      </c>
      <c r="AA41" s="13">
        <v>346372</v>
      </c>
    </row>
    <row r="42" spans="1:27" ht="15.75" x14ac:dyDescent="0.25">
      <c r="A42" s="12">
        <v>44713</v>
      </c>
      <c r="B42" s="13">
        <v>38945310</v>
      </c>
      <c r="C42" s="44">
        <f>'Non-performing_after_2019'!B42</f>
        <v>2853665</v>
      </c>
      <c r="D42" s="50">
        <f t="shared" si="0"/>
        <v>7.3273649638428862E-2</v>
      </c>
      <c r="E42" s="13">
        <v>8975303</v>
      </c>
      <c r="F42" s="13">
        <v>1429372</v>
      </c>
      <c r="G42" s="13">
        <v>133597</v>
      </c>
      <c r="H42" s="13">
        <v>305504</v>
      </c>
      <c r="I42" s="13">
        <v>1378708</v>
      </c>
      <c r="J42" s="13">
        <v>1192517</v>
      </c>
      <c r="K42" s="13">
        <v>313483</v>
      </c>
      <c r="L42" s="13">
        <v>1221323</v>
      </c>
      <c r="M42" s="13">
        <v>509283</v>
      </c>
      <c r="N42" s="13">
        <v>11526</v>
      </c>
      <c r="O42" s="13">
        <v>1489089</v>
      </c>
      <c r="P42" s="13">
        <v>283980</v>
      </c>
      <c r="Q42" s="13">
        <v>1552353</v>
      </c>
      <c r="R42" s="13">
        <v>2605270</v>
      </c>
      <c r="S42" s="13">
        <v>2568003</v>
      </c>
      <c r="T42" s="13">
        <v>2470899</v>
      </c>
      <c r="U42" s="13">
        <v>2284429</v>
      </c>
      <c r="V42" s="13">
        <v>2203666</v>
      </c>
      <c r="W42" s="13">
        <v>211004</v>
      </c>
      <c r="X42" s="13">
        <v>4214370</v>
      </c>
      <c r="Y42" s="13">
        <v>6923013</v>
      </c>
      <c r="Z42" s="13">
        <v>7934741</v>
      </c>
      <c r="AA42" s="13">
        <v>290254</v>
      </c>
    </row>
    <row r="43" spans="1:27" ht="15.75" x14ac:dyDescent="0.25">
      <c r="A43" s="12">
        <v>44743</v>
      </c>
      <c r="B43" s="13">
        <v>39421679</v>
      </c>
      <c r="C43" s="44">
        <f>'Non-performing_after_2019'!B43</f>
        <v>2704693</v>
      </c>
      <c r="D43" s="50">
        <f t="shared" si="0"/>
        <v>6.8609279680857838E-2</v>
      </c>
      <c r="E43" s="13">
        <v>9042131</v>
      </c>
      <c r="F43" s="13">
        <v>1410962</v>
      </c>
      <c r="G43" s="13">
        <v>167150</v>
      </c>
      <c r="H43" s="13">
        <v>312867</v>
      </c>
      <c r="I43" s="13">
        <v>1356744</v>
      </c>
      <c r="J43" s="13">
        <v>1263633</v>
      </c>
      <c r="K43" s="13">
        <v>312671</v>
      </c>
      <c r="L43" s="13">
        <v>1258449</v>
      </c>
      <c r="M43" s="13">
        <v>520705</v>
      </c>
      <c r="N43" s="13">
        <v>12566</v>
      </c>
      <c r="O43" s="13">
        <v>1408524</v>
      </c>
      <c r="P43" s="13">
        <v>281893</v>
      </c>
      <c r="Q43" s="13">
        <v>1552442</v>
      </c>
      <c r="R43" s="13">
        <v>2645553</v>
      </c>
      <c r="S43" s="13">
        <v>2608231</v>
      </c>
      <c r="T43" s="13">
        <v>2521143</v>
      </c>
      <c r="U43" s="13">
        <v>2328730</v>
      </c>
      <c r="V43" s="13">
        <v>2181881</v>
      </c>
      <c r="W43" s="13">
        <v>201971</v>
      </c>
      <c r="X43" s="13">
        <v>4180885</v>
      </c>
      <c r="Y43" s="13">
        <v>7065236</v>
      </c>
      <c r="Z43" s="13">
        <v>8097470</v>
      </c>
      <c r="AA43" s="13">
        <v>309126</v>
      </c>
    </row>
    <row r="44" spans="1:27" ht="15.75" x14ac:dyDescent="0.25">
      <c r="A44" s="12">
        <v>44774</v>
      </c>
      <c r="B44" s="13">
        <v>40209401</v>
      </c>
      <c r="C44" s="44">
        <f>'Non-performing_after_2019'!B44</f>
        <v>2698179</v>
      </c>
      <c r="D44" s="50">
        <f t="shared" si="0"/>
        <v>6.7103188132546412E-2</v>
      </c>
      <c r="E44" s="13">
        <v>9329584</v>
      </c>
      <c r="F44" s="13">
        <v>1428522</v>
      </c>
      <c r="G44" s="13">
        <v>170128</v>
      </c>
      <c r="H44" s="13">
        <v>316614</v>
      </c>
      <c r="I44" s="13">
        <v>1405009</v>
      </c>
      <c r="J44" s="13">
        <v>1292541</v>
      </c>
      <c r="K44" s="13">
        <v>319237</v>
      </c>
      <c r="L44" s="13">
        <v>1330335</v>
      </c>
      <c r="M44" s="13">
        <v>560958</v>
      </c>
      <c r="N44" s="13">
        <v>13595</v>
      </c>
      <c r="O44" s="13">
        <v>1464947</v>
      </c>
      <c r="P44" s="13">
        <v>277731</v>
      </c>
      <c r="Q44" s="13">
        <v>1573673</v>
      </c>
      <c r="R44" s="13">
        <v>2681354</v>
      </c>
      <c r="S44" s="13">
        <v>2644305</v>
      </c>
      <c r="T44" s="13">
        <v>2622033</v>
      </c>
      <c r="U44" s="13">
        <v>2431728</v>
      </c>
      <c r="V44" s="13">
        <v>2138103</v>
      </c>
      <c r="W44" s="13">
        <v>161777</v>
      </c>
      <c r="X44" s="13">
        <v>4215683</v>
      </c>
      <c r="Y44" s="13">
        <v>7226379</v>
      </c>
      <c r="Z44" s="13">
        <v>8222898</v>
      </c>
      <c r="AA44" s="13">
        <v>291156</v>
      </c>
    </row>
    <row r="45" spans="1:27" ht="15.75" x14ac:dyDescent="0.25">
      <c r="A45" s="12">
        <v>44805</v>
      </c>
      <c r="B45" s="13">
        <v>41663948</v>
      </c>
      <c r="C45" s="44">
        <f>'Non-performing_after_2019'!B45</f>
        <v>2699089</v>
      </c>
      <c r="D45" s="50">
        <f t="shared" si="0"/>
        <v>6.4782362919615782E-2</v>
      </c>
      <c r="E45" s="13">
        <v>9543589</v>
      </c>
      <c r="F45" s="13">
        <v>1425934</v>
      </c>
      <c r="G45" s="13">
        <v>162573</v>
      </c>
      <c r="H45" s="13">
        <v>310814</v>
      </c>
      <c r="I45" s="13">
        <v>1444222</v>
      </c>
      <c r="J45" s="13">
        <v>1343247</v>
      </c>
      <c r="K45" s="13">
        <v>316967</v>
      </c>
      <c r="L45" s="13">
        <v>1389370</v>
      </c>
      <c r="M45" s="13">
        <v>581233</v>
      </c>
      <c r="N45" s="13">
        <v>13732</v>
      </c>
      <c r="O45" s="13">
        <v>1520620</v>
      </c>
      <c r="P45" s="13">
        <v>272582</v>
      </c>
      <c r="Q45" s="13">
        <v>1585302</v>
      </c>
      <c r="R45" s="13">
        <v>2710031</v>
      </c>
      <c r="S45" s="13">
        <v>2672921</v>
      </c>
      <c r="T45" s="13">
        <v>2722214</v>
      </c>
      <c r="U45" s="13">
        <v>2526426</v>
      </c>
      <c r="V45" s="13">
        <v>2159154</v>
      </c>
      <c r="W45" s="13">
        <v>152295</v>
      </c>
      <c r="X45" s="13">
        <v>4273043</v>
      </c>
      <c r="Y45" s="13">
        <v>7431885</v>
      </c>
      <c r="Z45" s="13">
        <v>8447463</v>
      </c>
      <c r="AA45" s="13">
        <v>284501</v>
      </c>
    </row>
    <row r="46" spans="1:27" ht="15.75" x14ac:dyDescent="0.25">
      <c r="A46" s="12">
        <v>44835</v>
      </c>
      <c r="B46" s="13">
        <v>42783074</v>
      </c>
      <c r="C46" s="44">
        <f>'Non-performing_after_2019'!B46</f>
        <v>2668042</v>
      </c>
      <c r="D46" s="50">
        <f t="shared" si="0"/>
        <v>6.2362092074075837E-2</v>
      </c>
      <c r="E46" s="13">
        <v>10000082</v>
      </c>
      <c r="F46" s="13">
        <v>1459913</v>
      </c>
      <c r="G46" s="13">
        <v>164355</v>
      </c>
      <c r="H46" s="13">
        <v>311506</v>
      </c>
      <c r="I46" s="13">
        <v>1530414</v>
      </c>
      <c r="J46" s="13">
        <v>1377459</v>
      </c>
      <c r="K46" s="13">
        <v>311692</v>
      </c>
      <c r="L46" s="13">
        <v>1435231</v>
      </c>
      <c r="M46" s="13">
        <v>605712</v>
      </c>
      <c r="N46" s="13">
        <v>13746</v>
      </c>
      <c r="O46" s="13">
        <v>1712344</v>
      </c>
      <c r="P46" s="13">
        <v>278682</v>
      </c>
      <c r="Q46" s="13">
        <v>1586185</v>
      </c>
      <c r="R46" s="13">
        <v>2735269</v>
      </c>
      <c r="S46" s="13">
        <v>2697955</v>
      </c>
      <c r="T46" s="13">
        <v>2803343</v>
      </c>
      <c r="U46" s="13">
        <v>2604215</v>
      </c>
      <c r="V46" s="13">
        <v>2157439</v>
      </c>
      <c r="W46" s="13">
        <v>151071</v>
      </c>
      <c r="X46" s="13">
        <v>4619237</v>
      </c>
      <c r="Y46" s="13">
        <v>7677223</v>
      </c>
      <c r="Z46" s="13">
        <v>8417218</v>
      </c>
      <c r="AA46" s="13">
        <v>291434</v>
      </c>
    </row>
    <row r="47" spans="1:27" ht="15.75" x14ac:dyDescent="0.25">
      <c r="A47" s="12">
        <v>44866</v>
      </c>
      <c r="B47" s="13">
        <v>44315445</v>
      </c>
      <c r="C47" s="44">
        <f>'Non-performing_after_2019'!B47</f>
        <v>2670851</v>
      </c>
      <c r="D47" s="50">
        <f t="shared" si="0"/>
        <v>6.0269077744790782E-2</v>
      </c>
      <c r="E47" s="13">
        <v>10283107</v>
      </c>
      <c r="F47" s="13">
        <v>1484816</v>
      </c>
      <c r="G47" s="13">
        <v>165453</v>
      </c>
      <c r="H47" s="13">
        <v>317181</v>
      </c>
      <c r="I47" s="13">
        <v>1542433</v>
      </c>
      <c r="J47" s="13">
        <v>1407020</v>
      </c>
      <c r="K47" s="13">
        <v>310131</v>
      </c>
      <c r="L47" s="13">
        <v>1542721</v>
      </c>
      <c r="M47" s="13">
        <v>629775</v>
      </c>
      <c r="N47" s="13">
        <v>13832</v>
      </c>
      <c r="O47" s="13">
        <v>1772608</v>
      </c>
      <c r="P47" s="13">
        <v>280322</v>
      </c>
      <c r="Q47" s="13">
        <v>1602881</v>
      </c>
      <c r="R47" s="13">
        <v>2742199</v>
      </c>
      <c r="S47" s="13">
        <v>2704458</v>
      </c>
      <c r="T47" s="13">
        <v>2909275</v>
      </c>
      <c r="U47" s="13">
        <v>2711775</v>
      </c>
      <c r="V47" s="13">
        <v>2204743</v>
      </c>
      <c r="W47" s="13">
        <v>150606</v>
      </c>
      <c r="X47" s="13">
        <v>5118733</v>
      </c>
      <c r="Y47" s="13">
        <v>8083305</v>
      </c>
      <c r="Z47" s="13">
        <v>8461856</v>
      </c>
      <c r="AA47" s="13">
        <v>282275</v>
      </c>
    </row>
    <row r="48" spans="1:27" ht="15.75" x14ac:dyDescent="0.25">
      <c r="A48" s="12">
        <v>44896</v>
      </c>
      <c r="B48" s="13">
        <v>45114095</v>
      </c>
      <c r="C48" s="44">
        <f>'Non-performing_after_2019'!B48</f>
        <v>2679269</v>
      </c>
      <c r="D48" s="50">
        <f t="shared" si="0"/>
        <v>5.9388734274731653E-2</v>
      </c>
      <c r="E48" s="13">
        <v>10428236</v>
      </c>
      <c r="F48" s="13">
        <v>1495575</v>
      </c>
      <c r="G48" s="13">
        <v>173071</v>
      </c>
      <c r="H48" s="13">
        <v>313559</v>
      </c>
      <c r="I48" s="13">
        <v>1577718</v>
      </c>
      <c r="J48" s="13">
        <v>1430556</v>
      </c>
      <c r="K48" s="13">
        <v>308818</v>
      </c>
      <c r="L48" s="13">
        <v>1512477</v>
      </c>
      <c r="M48" s="13">
        <v>642380</v>
      </c>
      <c r="N48" s="13">
        <v>13916</v>
      </c>
      <c r="O48" s="13">
        <v>1824351</v>
      </c>
      <c r="P48" s="13">
        <v>284871</v>
      </c>
      <c r="Q48" s="13">
        <v>1614754</v>
      </c>
      <c r="R48" s="13">
        <v>2776561</v>
      </c>
      <c r="S48" s="13">
        <v>2738737</v>
      </c>
      <c r="T48" s="13">
        <v>2977462</v>
      </c>
      <c r="U48" s="13">
        <v>2777470</v>
      </c>
      <c r="V48" s="13">
        <v>2201661</v>
      </c>
      <c r="W48" s="13">
        <v>150955</v>
      </c>
      <c r="X48" s="13">
        <v>5225628</v>
      </c>
      <c r="Y48" s="13">
        <v>8270859</v>
      </c>
      <c r="Z48" s="13">
        <v>8672668</v>
      </c>
      <c r="AA48" s="13">
        <v>280668</v>
      </c>
    </row>
    <row r="49" spans="1:27" ht="15.75" x14ac:dyDescent="0.25">
      <c r="A49" s="12">
        <v>44927</v>
      </c>
      <c r="B49" s="13">
        <v>46005323</v>
      </c>
      <c r="C49" s="44">
        <f>'Non-performing_after_2019'!B49</f>
        <v>2697266</v>
      </c>
      <c r="D49" s="50">
        <f t="shared" si="0"/>
        <v>5.8629432946270155E-2</v>
      </c>
      <c r="E49" s="13">
        <v>10673788</v>
      </c>
      <c r="F49" s="13">
        <v>1495356</v>
      </c>
      <c r="G49" s="13">
        <v>168951</v>
      </c>
      <c r="H49" s="13">
        <v>340017</v>
      </c>
      <c r="I49" s="13">
        <v>1873287</v>
      </c>
      <c r="J49" s="13">
        <v>1499074</v>
      </c>
      <c r="K49" s="13">
        <v>305695</v>
      </c>
      <c r="L49" s="13">
        <v>1410045</v>
      </c>
      <c r="M49" s="13">
        <v>643617</v>
      </c>
      <c r="N49" s="13">
        <v>14871</v>
      </c>
      <c r="O49" s="13">
        <v>1817263</v>
      </c>
      <c r="P49" s="13">
        <v>278428</v>
      </c>
      <c r="Q49" s="13">
        <v>1610411</v>
      </c>
      <c r="R49" s="13">
        <v>2805354</v>
      </c>
      <c r="S49" s="13">
        <v>2768049</v>
      </c>
      <c r="T49" s="13">
        <v>2891256</v>
      </c>
      <c r="U49" s="13">
        <v>2706500</v>
      </c>
      <c r="V49" s="13">
        <v>2262248</v>
      </c>
      <c r="W49" s="13">
        <v>150063</v>
      </c>
      <c r="X49" s="13">
        <v>5305351</v>
      </c>
      <c r="Y49" s="13">
        <v>8480900</v>
      </c>
      <c r="Z49" s="13">
        <v>8930185</v>
      </c>
      <c r="AA49" s="13">
        <v>272492</v>
      </c>
    </row>
    <row r="50" spans="1:27" ht="15.75" x14ac:dyDescent="0.25">
      <c r="A50" s="32">
        <v>44958</v>
      </c>
      <c r="B50" s="33">
        <v>45889054</v>
      </c>
      <c r="C50" s="44">
        <f>'Non-performing_after_2019'!B50</f>
        <v>2724609</v>
      </c>
      <c r="D50" s="50">
        <f t="shared" si="0"/>
        <v>5.9373832374055913E-2</v>
      </c>
      <c r="E50" s="33">
        <v>11099543</v>
      </c>
      <c r="F50" s="33">
        <v>1639484</v>
      </c>
      <c r="G50" s="33">
        <v>168469</v>
      </c>
      <c r="H50" s="33">
        <v>355922</v>
      </c>
      <c r="I50" s="33">
        <v>1917437</v>
      </c>
      <c r="J50" s="33">
        <v>1693649</v>
      </c>
      <c r="K50" s="33">
        <v>286180</v>
      </c>
      <c r="L50" s="33">
        <v>1480289</v>
      </c>
      <c r="M50" s="33">
        <v>649125</v>
      </c>
      <c r="N50" s="33">
        <v>13772</v>
      </c>
      <c r="O50" s="33">
        <v>1868732</v>
      </c>
      <c r="P50" s="33">
        <v>296655</v>
      </c>
      <c r="Q50" s="33">
        <v>1519896</v>
      </c>
      <c r="R50" s="33">
        <v>2641308</v>
      </c>
      <c r="S50" s="33">
        <v>2602571</v>
      </c>
      <c r="T50" s="33">
        <v>2681820</v>
      </c>
      <c r="U50" s="33">
        <v>2491262</v>
      </c>
      <c r="V50" s="33">
        <v>2200659</v>
      </c>
      <c r="W50" s="33">
        <v>149926</v>
      </c>
      <c r="X50" s="33">
        <v>5215407</v>
      </c>
      <c r="Y50" s="33">
        <v>9291191</v>
      </c>
      <c r="Z50" s="33">
        <v>8855175</v>
      </c>
      <c r="AA50" s="33">
        <v>270371</v>
      </c>
    </row>
    <row r="51" spans="1:27" ht="15.75" x14ac:dyDescent="0.25">
      <c r="A51" s="32">
        <v>44986</v>
      </c>
      <c r="B51" s="33">
        <v>46939236</v>
      </c>
      <c r="C51" s="44">
        <f>'Non-performing_after_2019'!B51</f>
        <v>2694535</v>
      </c>
      <c r="D51" s="50">
        <f t="shared" si="0"/>
        <v>5.7404747704031651E-2</v>
      </c>
      <c r="E51" s="33">
        <v>11253061</v>
      </c>
      <c r="F51" s="33">
        <v>1622560</v>
      </c>
      <c r="G51" s="33">
        <v>170306</v>
      </c>
      <c r="H51" s="33">
        <v>358059</v>
      </c>
      <c r="I51" s="33">
        <v>1997343</v>
      </c>
      <c r="J51" s="33">
        <v>1727021</v>
      </c>
      <c r="K51" s="33">
        <v>291514</v>
      </c>
      <c r="L51" s="33">
        <v>1485857</v>
      </c>
      <c r="M51" s="33">
        <v>647822</v>
      </c>
      <c r="N51" s="33">
        <v>13732</v>
      </c>
      <c r="O51" s="33">
        <v>1866508</v>
      </c>
      <c r="P51" s="33">
        <v>290178</v>
      </c>
      <c r="Q51" s="33">
        <v>1496716</v>
      </c>
      <c r="R51" s="33">
        <v>2660981</v>
      </c>
      <c r="S51" s="33">
        <v>2622080</v>
      </c>
      <c r="T51" s="33">
        <v>2731672</v>
      </c>
      <c r="U51" s="33">
        <v>2541831</v>
      </c>
      <c r="V51" s="33">
        <v>2485613</v>
      </c>
      <c r="W51" s="33">
        <v>149948</v>
      </c>
      <c r="X51" s="33">
        <v>5465675</v>
      </c>
      <c r="Y51" s="33">
        <v>9449804</v>
      </c>
      <c r="Z51" s="33">
        <v>8939455</v>
      </c>
      <c r="AA51" s="33">
        <v>307640</v>
      </c>
    </row>
    <row r="52" spans="1:27" ht="15.75" x14ac:dyDescent="0.25">
      <c r="A52" s="32">
        <v>45017</v>
      </c>
      <c r="B52" s="33">
        <v>47956779</v>
      </c>
      <c r="C52" s="44">
        <f>'Non-performing_after_2019'!B52</f>
        <v>2662397</v>
      </c>
      <c r="D52" s="50">
        <f t="shared" si="0"/>
        <v>5.5516593389226578E-2</v>
      </c>
      <c r="E52" s="33">
        <v>11383688</v>
      </c>
      <c r="F52" s="33">
        <v>1605575</v>
      </c>
      <c r="G52" s="33">
        <v>172958</v>
      </c>
      <c r="H52" s="33">
        <v>360406</v>
      </c>
      <c r="I52" s="33">
        <v>2033263</v>
      </c>
      <c r="J52" s="33">
        <v>1716049</v>
      </c>
      <c r="K52" s="33">
        <v>297427</v>
      </c>
      <c r="L52" s="33">
        <v>1527183</v>
      </c>
      <c r="M52" s="33">
        <v>659006</v>
      </c>
      <c r="N52" s="33">
        <v>12991</v>
      </c>
      <c r="O52" s="33">
        <v>1885519</v>
      </c>
      <c r="P52" s="33">
        <v>262790</v>
      </c>
      <c r="Q52" s="33">
        <v>1420532</v>
      </c>
      <c r="R52" s="33">
        <v>2652385</v>
      </c>
      <c r="S52" s="33">
        <v>2613075</v>
      </c>
      <c r="T52" s="33">
        <v>2828805</v>
      </c>
      <c r="U52" s="33">
        <v>2629842</v>
      </c>
      <c r="V52" s="33">
        <v>2515027</v>
      </c>
      <c r="W52" s="33">
        <v>149392</v>
      </c>
      <c r="X52" s="33">
        <v>5579956</v>
      </c>
      <c r="Y52" s="33">
        <v>9870449</v>
      </c>
      <c r="Z52" s="33">
        <v>9119680</v>
      </c>
      <c r="AA52" s="33">
        <v>343507</v>
      </c>
    </row>
    <row r="53" spans="1:27" ht="15.75" x14ac:dyDescent="0.25">
      <c r="A53" s="32">
        <v>45047</v>
      </c>
      <c r="B53" s="33">
        <v>48917737</v>
      </c>
      <c r="C53" s="44">
        <f>'Non-performing_after_2019'!B53</f>
        <v>2682161</v>
      </c>
      <c r="D53" s="50">
        <f t="shared" si="0"/>
        <v>5.4830030260802951E-2</v>
      </c>
      <c r="E53" s="33">
        <v>11475647</v>
      </c>
      <c r="F53" s="33">
        <v>1577324</v>
      </c>
      <c r="G53" s="33">
        <v>167245</v>
      </c>
      <c r="H53" s="33">
        <v>358040</v>
      </c>
      <c r="I53" s="33">
        <v>2038734</v>
      </c>
      <c r="J53" s="33">
        <v>1731395</v>
      </c>
      <c r="K53" s="33">
        <v>296507</v>
      </c>
      <c r="L53" s="33">
        <v>1561210</v>
      </c>
      <c r="M53" s="33">
        <v>670326</v>
      </c>
      <c r="N53" s="33">
        <v>14582</v>
      </c>
      <c r="O53" s="33">
        <v>1906380</v>
      </c>
      <c r="P53" s="33">
        <v>259747</v>
      </c>
      <c r="Q53" s="33">
        <v>1418659</v>
      </c>
      <c r="R53" s="33">
        <v>2669272</v>
      </c>
      <c r="S53" s="33">
        <v>2629702</v>
      </c>
      <c r="T53" s="33">
        <v>2906614</v>
      </c>
      <c r="U53" s="33">
        <v>2694476</v>
      </c>
      <c r="V53" s="33">
        <v>2636902</v>
      </c>
      <c r="W53" s="33">
        <v>149644</v>
      </c>
      <c r="X53" s="33">
        <v>5774360</v>
      </c>
      <c r="Y53" s="33">
        <v>10053015</v>
      </c>
      <c r="Z53" s="33">
        <v>9309936</v>
      </c>
      <c r="AA53" s="33">
        <v>363308</v>
      </c>
    </row>
    <row r="54" spans="1:27" ht="15.75" x14ac:dyDescent="0.25">
      <c r="A54" s="32">
        <v>45078</v>
      </c>
      <c r="B54" s="33">
        <v>49643276</v>
      </c>
      <c r="C54" s="44">
        <f>'Non-performing_after_2019'!B54</f>
        <v>2697437</v>
      </c>
      <c r="D54" s="50">
        <f t="shared" si="0"/>
        <v>5.4336401973149394E-2</v>
      </c>
      <c r="E54" s="33">
        <v>11538260</v>
      </c>
      <c r="F54" s="33">
        <v>1593663</v>
      </c>
      <c r="G54" s="33">
        <v>167277</v>
      </c>
      <c r="H54" s="33">
        <v>360060</v>
      </c>
      <c r="I54" s="33">
        <v>2019038</v>
      </c>
      <c r="J54" s="33">
        <v>1760993</v>
      </c>
      <c r="K54" s="33">
        <v>295191</v>
      </c>
      <c r="L54" s="33">
        <v>1531750</v>
      </c>
      <c r="M54" s="33">
        <v>704273</v>
      </c>
      <c r="N54" s="33">
        <v>13645</v>
      </c>
      <c r="O54" s="33">
        <v>1929262</v>
      </c>
      <c r="P54" s="33">
        <v>260414</v>
      </c>
      <c r="Q54" s="33">
        <v>1424164</v>
      </c>
      <c r="R54" s="33">
        <v>2679384</v>
      </c>
      <c r="S54" s="33">
        <v>2639585</v>
      </c>
      <c r="T54" s="33">
        <v>3001565</v>
      </c>
      <c r="U54" s="33">
        <v>2780718</v>
      </c>
      <c r="V54" s="33">
        <v>2678982</v>
      </c>
      <c r="W54" s="33">
        <v>149784</v>
      </c>
      <c r="X54" s="33">
        <v>5805404</v>
      </c>
      <c r="Y54" s="33">
        <v>10283430</v>
      </c>
      <c r="Z54" s="33">
        <v>9572620</v>
      </c>
      <c r="AA54" s="33">
        <v>337062</v>
      </c>
    </row>
    <row r="55" spans="1:27" ht="15.75" x14ac:dyDescent="0.25">
      <c r="A55" s="32">
        <v>45108</v>
      </c>
      <c r="B55" s="33">
        <v>50471456</v>
      </c>
      <c r="C55" s="44">
        <f>'Non-performing_after_2019'!B55</f>
        <v>2679750</v>
      </c>
      <c r="D55" s="50">
        <f t="shared" si="0"/>
        <v>5.3094366843706671E-2</v>
      </c>
      <c r="E55" s="33">
        <v>11720867</v>
      </c>
      <c r="F55" s="33">
        <v>1575312</v>
      </c>
      <c r="G55" s="33">
        <v>167031</v>
      </c>
      <c r="H55" s="33">
        <v>365305</v>
      </c>
      <c r="I55" s="33">
        <v>2014248</v>
      </c>
      <c r="J55" s="33">
        <v>1807735</v>
      </c>
      <c r="K55" s="33">
        <v>292763</v>
      </c>
      <c r="L55" s="33">
        <v>1570880</v>
      </c>
      <c r="M55" s="33">
        <v>713444</v>
      </c>
      <c r="N55" s="33">
        <v>8603</v>
      </c>
      <c r="O55" s="33">
        <v>2019542</v>
      </c>
      <c r="P55" s="33">
        <v>269092</v>
      </c>
      <c r="Q55" s="33">
        <v>1416452</v>
      </c>
      <c r="R55" s="33">
        <v>2686133</v>
      </c>
      <c r="S55" s="33">
        <v>2645821</v>
      </c>
      <c r="T55" s="33">
        <v>3094058</v>
      </c>
      <c r="U55" s="33">
        <v>2859714</v>
      </c>
      <c r="V55" s="33">
        <v>2652337</v>
      </c>
      <c r="W55" s="33">
        <v>148748</v>
      </c>
      <c r="X55" s="33">
        <v>5880744</v>
      </c>
      <c r="Y55" s="33">
        <v>10411549</v>
      </c>
      <c r="Z55" s="33">
        <v>9853472</v>
      </c>
      <c r="AA55" s="33">
        <v>398962</v>
      </c>
    </row>
    <row r="56" spans="1:27" ht="15.75" x14ac:dyDescent="0.25">
      <c r="A56" s="32">
        <v>45139</v>
      </c>
      <c r="B56" s="33">
        <v>51942940</v>
      </c>
      <c r="C56" s="44">
        <f>'Non-performing_after_2019'!B56</f>
        <v>2669181</v>
      </c>
      <c r="D56" s="50">
        <f t="shared" si="0"/>
        <v>5.138679096716512E-2</v>
      </c>
      <c r="E56" s="33">
        <v>12144706</v>
      </c>
      <c r="F56" s="33">
        <v>1578134</v>
      </c>
      <c r="G56" s="33">
        <v>168977</v>
      </c>
      <c r="H56" s="33">
        <v>358972</v>
      </c>
      <c r="I56" s="33">
        <v>2031818</v>
      </c>
      <c r="J56" s="33">
        <v>1844873</v>
      </c>
      <c r="K56" s="33">
        <v>296292</v>
      </c>
      <c r="L56" s="33">
        <v>1806585</v>
      </c>
      <c r="M56" s="33">
        <v>734594</v>
      </c>
      <c r="N56" s="33">
        <v>9555</v>
      </c>
      <c r="O56" s="33">
        <v>2092173</v>
      </c>
      <c r="P56" s="33">
        <v>279105</v>
      </c>
      <c r="Q56" s="33">
        <v>1456815</v>
      </c>
      <c r="R56" s="33">
        <v>2685918</v>
      </c>
      <c r="S56" s="33">
        <v>2645093</v>
      </c>
      <c r="T56" s="33">
        <v>3179202</v>
      </c>
      <c r="U56" s="33">
        <v>2937767</v>
      </c>
      <c r="V56" s="33">
        <v>2756637</v>
      </c>
      <c r="W56" s="33">
        <v>146905</v>
      </c>
      <c r="X56" s="33">
        <v>5997583</v>
      </c>
      <c r="Y56" s="33">
        <v>10831617</v>
      </c>
      <c r="Z56" s="33">
        <v>10084687</v>
      </c>
      <c r="AA56" s="33">
        <v>359238</v>
      </c>
    </row>
    <row r="57" spans="1:27" ht="15.75" x14ac:dyDescent="0.25">
      <c r="A57" s="32">
        <v>45170</v>
      </c>
      <c r="B57" s="33">
        <v>53066477</v>
      </c>
      <c r="C57" s="44">
        <f>'Non-performing_after_2019'!B57</f>
        <v>3122763</v>
      </c>
      <c r="D57" s="50">
        <f t="shared" si="0"/>
        <v>5.8846246755743743E-2</v>
      </c>
      <c r="E57" s="33">
        <v>12122818</v>
      </c>
      <c r="F57" s="33">
        <v>1581336</v>
      </c>
      <c r="G57" s="33">
        <v>170145</v>
      </c>
      <c r="H57" s="33">
        <v>358081</v>
      </c>
      <c r="I57" s="33">
        <v>1861642</v>
      </c>
      <c r="J57" s="33">
        <v>1906100</v>
      </c>
      <c r="K57" s="33">
        <v>309506</v>
      </c>
      <c r="L57" s="33">
        <v>1778823</v>
      </c>
      <c r="M57" s="33">
        <v>747949</v>
      </c>
      <c r="N57" s="33">
        <v>10925</v>
      </c>
      <c r="O57" s="33">
        <v>2153282</v>
      </c>
      <c r="P57" s="33">
        <v>291645</v>
      </c>
      <c r="Q57" s="33">
        <v>1473100</v>
      </c>
      <c r="R57" s="33">
        <v>2685821</v>
      </c>
      <c r="S57" s="33">
        <v>2644834</v>
      </c>
      <c r="T57" s="33">
        <v>3277947</v>
      </c>
      <c r="U57" s="33">
        <v>3025051</v>
      </c>
      <c r="V57" s="33">
        <v>2807030</v>
      </c>
      <c r="W57" s="33">
        <v>137596</v>
      </c>
      <c r="X57" s="33">
        <v>6186767</v>
      </c>
      <c r="Y57" s="33">
        <v>11195117</v>
      </c>
      <c r="Z57" s="33">
        <v>10421805</v>
      </c>
      <c r="AA57" s="33">
        <v>358305</v>
      </c>
    </row>
    <row r="58" spans="1:27" ht="15.75" x14ac:dyDescent="0.25">
      <c r="A58" s="32">
        <v>45200</v>
      </c>
      <c r="B58" s="33">
        <v>54559539</v>
      </c>
      <c r="C58" s="44">
        <f>'Non-performing_after_2019'!B58</f>
        <v>2627850</v>
      </c>
      <c r="D58" s="50">
        <f t="shared" si="0"/>
        <v>4.8164813122779503E-2</v>
      </c>
      <c r="E58" s="33">
        <v>12094458</v>
      </c>
      <c r="F58" s="33">
        <v>1550164</v>
      </c>
      <c r="G58" s="33">
        <v>171300</v>
      </c>
      <c r="H58" s="33">
        <v>355151</v>
      </c>
      <c r="I58" s="33">
        <v>1704622</v>
      </c>
      <c r="J58" s="33">
        <v>1934301</v>
      </c>
      <c r="K58" s="33">
        <v>311449</v>
      </c>
      <c r="L58" s="33">
        <v>1805349</v>
      </c>
      <c r="M58" s="33">
        <v>773980</v>
      </c>
      <c r="N58" s="33">
        <v>9869</v>
      </c>
      <c r="O58" s="33">
        <v>2219239</v>
      </c>
      <c r="P58" s="33">
        <v>294688</v>
      </c>
      <c r="Q58" s="33">
        <v>1485669</v>
      </c>
      <c r="R58" s="33">
        <v>2693877</v>
      </c>
      <c r="S58" s="33">
        <v>2652456</v>
      </c>
      <c r="T58" s="33">
        <v>3393693</v>
      </c>
      <c r="U58" s="33">
        <v>3137119</v>
      </c>
      <c r="V58" s="33">
        <v>2863100</v>
      </c>
      <c r="W58" s="33">
        <v>133781</v>
      </c>
      <c r="X58" s="33">
        <v>6607351</v>
      </c>
      <c r="Y58" s="33">
        <v>11539742</v>
      </c>
      <c r="Z58" s="33">
        <v>10980214</v>
      </c>
      <c r="AA58" s="33">
        <v>364490</v>
      </c>
    </row>
    <row r="59" spans="1:27" ht="15.75" x14ac:dyDescent="0.25">
      <c r="A59" s="32">
        <v>45231</v>
      </c>
      <c r="B59" s="33">
        <v>56004203</v>
      </c>
      <c r="C59" s="44">
        <f>'Non-performing_after_2019'!B59</f>
        <v>2595573</v>
      </c>
      <c r="D59" s="50">
        <f t="shared" si="0"/>
        <v>4.6346039421362714E-2</v>
      </c>
      <c r="E59" s="33">
        <v>12436761</v>
      </c>
      <c r="F59" s="33">
        <v>1517869</v>
      </c>
      <c r="G59" s="33">
        <v>172680</v>
      </c>
      <c r="H59" s="33">
        <v>354185</v>
      </c>
      <c r="I59" s="33">
        <v>1701267</v>
      </c>
      <c r="J59" s="33">
        <v>1954852</v>
      </c>
      <c r="K59" s="33">
        <v>315139</v>
      </c>
      <c r="L59" s="33">
        <v>1998425</v>
      </c>
      <c r="M59" s="33">
        <v>790193</v>
      </c>
      <c r="N59" s="33">
        <v>11727</v>
      </c>
      <c r="O59" s="33">
        <v>2247542</v>
      </c>
      <c r="P59" s="33">
        <v>307812</v>
      </c>
      <c r="Q59" s="33">
        <v>1491036</v>
      </c>
      <c r="R59" s="33">
        <v>2664997</v>
      </c>
      <c r="S59" s="33">
        <v>2623101</v>
      </c>
      <c r="T59" s="33">
        <v>3453031</v>
      </c>
      <c r="U59" s="33">
        <v>3195523</v>
      </c>
      <c r="V59" s="33">
        <v>3029451</v>
      </c>
      <c r="W59" s="33">
        <v>131234</v>
      </c>
      <c r="X59" s="33">
        <v>6880509</v>
      </c>
      <c r="Y59" s="33">
        <v>11643997</v>
      </c>
      <c r="Z59" s="33">
        <v>11393194</v>
      </c>
      <c r="AA59" s="33">
        <v>392075</v>
      </c>
    </row>
    <row r="60" spans="1:27" ht="15.75" x14ac:dyDescent="0.25">
      <c r="A60" s="32">
        <v>45261</v>
      </c>
      <c r="B60" s="34">
        <v>56913266</v>
      </c>
      <c r="C60" s="44">
        <f>'Non-performing_after_2019'!B60</f>
        <v>2625918</v>
      </c>
      <c r="D60" s="50">
        <f t="shared" si="0"/>
        <v>4.6138944125961777E-2</v>
      </c>
      <c r="E60" s="34">
        <v>12544739</v>
      </c>
      <c r="F60" s="34">
        <v>1485844</v>
      </c>
      <c r="G60" s="34">
        <v>154272</v>
      </c>
      <c r="H60" s="34">
        <v>356477</v>
      </c>
      <c r="I60" s="34">
        <v>1718422</v>
      </c>
      <c r="J60" s="34">
        <v>1981113</v>
      </c>
      <c r="K60" s="34">
        <v>318537</v>
      </c>
      <c r="L60" s="34">
        <v>2019368</v>
      </c>
      <c r="M60" s="34">
        <v>824966</v>
      </c>
      <c r="N60" s="34">
        <v>11832</v>
      </c>
      <c r="O60" s="34">
        <v>2283660</v>
      </c>
      <c r="P60" s="34">
        <v>323262</v>
      </c>
      <c r="Q60" s="34">
        <v>1509774</v>
      </c>
      <c r="R60" s="34">
        <v>2653753</v>
      </c>
      <c r="S60" s="34">
        <v>2611444</v>
      </c>
      <c r="T60" s="34">
        <v>3519163</v>
      </c>
      <c r="U60" s="34">
        <v>3255178</v>
      </c>
      <c r="V60" s="34">
        <v>3093422</v>
      </c>
      <c r="W60" s="34">
        <v>129446</v>
      </c>
      <c r="X60" s="34">
        <v>6898310</v>
      </c>
      <c r="Y60" s="34">
        <v>11804369</v>
      </c>
      <c r="Z60" s="34">
        <v>11839348</v>
      </c>
      <c r="AA60" s="34">
        <v>395951</v>
      </c>
    </row>
    <row r="61" spans="1:27" ht="15.75" x14ac:dyDescent="0.25">
      <c r="A61" s="32">
        <v>45292</v>
      </c>
      <c r="B61" s="34">
        <v>57531064</v>
      </c>
      <c r="C61" s="44">
        <f>'Non-performing_after_2019'!B61</f>
        <v>2541350</v>
      </c>
      <c r="D61" s="50">
        <f t="shared" si="0"/>
        <v>4.4173526844558275E-2</v>
      </c>
      <c r="E61" s="34">
        <v>12753420</v>
      </c>
      <c r="F61" s="34">
        <v>1479667</v>
      </c>
      <c r="G61" s="34">
        <v>153826</v>
      </c>
      <c r="H61" s="34">
        <v>404445</v>
      </c>
      <c r="I61" s="34">
        <v>1735308</v>
      </c>
      <c r="J61" s="34">
        <v>2170644</v>
      </c>
      <c r="K61" s="34">
        <v>322945</v>
      </c>
      <c r="L61" s="34">
        <v>2012243</v>
      </c>
      <c r="M61" s="34">
        <v>852248</v>
      </c>
      <c r="N61" s="34">
        <v>12629</v>
      </c>
      <c r="O61" s="34">
        <v>2300967</v>
      </c>
      <c r="P61" s="34">
        <v>334696</v>
      </c>
      <c r="Q61" s="34">
        <v>1548659</v>
      </c>
      <c r="R61" s="34">
        <v>2691768</v>
      </c>
      <c r="S61" s="34">
        <v>2649421</v>
      </c>
      <c r="T61" s="34">
        <v>3637217</v>
      </c>
      <c r="U61" s="34">
        <v>3386126</v>
      </c>
      <c r="V61" s="34">
        <v>3165221</v>
      </c>
      <c r="W61" s="34">
        <v>126145</v>
      </c>
      <c r="X61" s="34">
        <v>6817184</v>
      </c>
      <c r="Y61" s="34">
        <v>11529101</v>
      </c>
      <c r="Z61" s="34">
        <v>12373035</v>
      </c>
      <c r="AA61" s="34">
        <v>390026</v>
      </c>
    </row>
    <row r="62" spans="1:27" ht="15.75" x14ac:dyDescent="0.25">
      <c r="A62" s="32">
        <v>45323</v>
      </c>
      <c r="B62" s="34">
        <v>57651444</v>
      </c>
      <c r="C62" s="44">
        <f>'Non-performing_after_2019'!B62</f>
        <v>2561753</v>
      </c>
      <c r="D62" s="50">
        <f t="shared" si="0"/>
        <v>4.4435192291107227E-2</v>
      </c>
      <c r="E62" s="34">
        <v>12852617</v>
      </c>
      <c r="F62" s="34">
        <v>1489437</v>
      </c>
      <c r="G62" s="34">
        <v>154651</v>
      </c>
      <c r="H62" s="34">
        <v>392991</v>
      </c>
      <c r="I62" s="34">
        <v>1788330</v>
      </c>
      <c r="J62" s="34">
        <v>2046963</v>
      </c>
      <c r="K62" s="34">
        <v>326180</v>
      </c>
      <c r="L62" s="34">
        <v>1966720</v>
      </c>
      <c r="M62" s="34">
        <v>903453</v>
      </c>
      <c r="N62" s="34">
        <v>14434</v>
      </c>
      <c r="O62" s="34">
        <v>2436382</v>
      </c>
      <c r="P62" s="34">
        <v>377760</v>
      </c>
      <c r="Q62" s="34">
        <v>1542367</v>
      </c>
      <c r="R62" s="34">
        <v>2705116</v>
      </c>
      <c r="S62" s="34">
        <v>2662493</v>
      </c>
      <c r="T62" s="34">
        <v>3542598</v>
      </c>
      <c r="U62" s="34">
        <v>3316557</v>
      </c>
      <c r="V62" s="34">
        <v>3254562</v>
      </c>
      <c r="W62" s="34">
        <v>122750</v>
      </c>
      <c r="X62" s="34">
        <v>6769349</v>
      </c>
      <c r="Y62" s="34">
        <v>11624394</v>
      </c>
      <c r="Z62" s="34">
        <v>12135884</v>
      </c>
      <c r="AA62" s="34">
        <v>392793</v>
      </c>
    </row>
    <row r="63" spans="1:27" ht="15.75" x14ac:dyDescent="0.25">
      <c r="A63" s="32">
        <v>45352</v>
      </c>
      <c r="B63" s="34">
        <v>57903484</v>
      </c>
      <c r="C63" s="44">
        <f>'Non-performing_after_2019'!B63</f>
        <v>2570148</v>
      </c>
      <c r="D63" s="50">
        <f t="shared" si="0"/>
        <v>4.4386759180155722E-2</v>
      </c>
      <c r="E63" s="34">
        <v>12553107</v>
      </c>
      <c r="F63" s="34">
        <v>1487961</v>
      </c>
      <c r="G63" s="34">
        <v>158235</v>
      </c>
      <c r="H63" s="34">
        <v>397033</v>
      </c>
      <c r="I63" s="34">
        <v>1776868</v>
      </c>
      <c r="J63" s="34">
        <v>2084051</v>
      </c>
      <c r="K63" s="34">
        <v>336456</v>
      </c>
      <c r="L63" s="34">
        <v>1949349</v>
      </c>
      <c r="M63" s="34">
        <v>802346</v>
      </c>
      <c r="N63" s="34">
        <v>13342</v>
      </c>
      <c r="O63" s="34">
        <v>2214882</v>
      </c>
      <c r="P63" s="34">
        <v>360257</v>
      </c>
      <c r="Q63" s="34">
        <v>1519940</v>
      </c>
      <c r="R63" s="34">
        <v>2664002</v>
      </c>
      <c r="S63" s="34">
        <v>2621332</v>
      </c>
      <c r="T63" s="34">
        <v>3632998</v>
      </c>
      <c r="U63" s="34">
        <v>3402036</v>
      </c>
      <c r="V63" s="34">
        <v>3411640</v>
      </c>
      <c r="W63" s="34">
        <v>119505</v>
      </c>
      <c r="X63" s="34">
        <v>6840818</v>
      </c>
      <c r="Y63" s="34">
        <v>11756256</v>
      </c>
      <c r="Z63" s="34">
        <v>12366197</v>
      </c>
      <c r="AA63" s="34">
        <v>427383</v>
      </c>
    </row>
    <row r="64" spans="1:27" ht="15.75" x14ac:dyDescent="0.25">
      <c r="A64" s="32">
        <v>45383</v>
      </c>
      <c r="B64" s="34">
        <v>58953977</v>
      </c>
      <c r="C64" s="44">
        <f>'Non-performing_after_2019'!B64</f>
        <v>2568470</v>
      </c>
      <c r="D64" s="50">
        <f t="shared" si="0"/>
        <v>4.356737459798514E-2</v>
      </c>
      <c r="E64" s="34">
        <v>12567581</v>
      </c>
      <c r="F64" s="34">
        <v>1505219</v>
      </c>
      <c r="G64" s="34">
        <v>159782</v>
      </c>
      <c r="H64" s="34">
        <v>399448</v>
      </c>
      <c r="I64" s="34">
        <v>1737899</v>
      </c>
      <c r="J64" s="34">
        <v>2088222</v>
      </c>
      <c r="K64" s="34">
        <v>350232</v>
      </c>
      <c r="L64" s="34">
        <v>1939564</v>
      </c>
      <c r="M64" s="34">
        <v>815805</v>
      </c>
      <c r="N64" s="34">
        <v>13745</v>
      </c>
      <c r="O64" s="34">
        <v>2195485</v>
      </c>
      <c r="P64" s="34">
        <v>338483</v>
      </c>
      <c r="Q64" s="34">
        <v>1483457</v>
      </c>
      <c r="R64" s="34">
        <v>2680977</v>
      </c>
      <c r="S64" s="34">
        <v>2637916</v>
      </c>
      <c r="T64" s="34">
        <v>3750325</v>
      </c>
      <c r="U64" s="34">
        <v>3511931</v>
      </c>
      <c r="V64" s="34">
        <v>3706086</v>
      </c>
      <c r="W64" s="34">
        <v>114484</v>
      </c>
      <c r="X64" s="34">
        <v>6977546</v>
      </c>
      <c r="Y64" s="34">
        <v>12120550</v>
      </c>
      <c r="Z64" s="34">
        <v>12480763</v>
      </c>
      <c r="AA64" s="34">
        <v>454355</v>
      </c>
    </row>
    <row r="65" spans="1:27" ht="15.75" x14ac:dyDescent="0.25">
      <c r="A65" s="32">
        <v>45413</v>
      </c>
      <c r="B65" s="34">
        <v>59882745</v>
      </c>
      <c r="C65" s="44">
        <f>'Non-performing_after_2019'!B65</f>
        <v>2572867</v>
      </c>
      <c r="D65" s="50">
        <f t="shared" si="0"/>
        <v>4.2965081176555953E-2</v>
      </c>
      <c r="E65" s="34">
        <v>12602608</v>
      </c>
      <c r="F65" s="34">
        <v>1534948</v>
      </c>
      <c r="G65" s="34">
        <v>161888</v>
      </c>
      <c r="H65" s="34">
        <v>410667</v>
      </c>
      <c r="I65" s="34">
        <v>1726163</v>
      </c>
      <c r="J65" s="34">
        <v>2076269</v>
      </c>
      <c r="K65" s="34">
        <v>357828</v>
      </c>
      <c r="L65" s="34">
        <v>1992419</v>
      </c>
      <c r="M65" s="34">
        <v>809979</v>
      </c>
      <c r="N65" s="34">
        <v>14573</v>
      </c>
      <c r="O65" s="34">
        <v>2169359</v>
      </c>
      <c r="P65" s="34">
        <v>314272</v>
      </c>
      <c r="Q65" s="34">
        <v>1491674</v>
      </c>
      <c r="R65" s="34">
        <v>2740369</v>
      </c>
      <c r="S65" s="34">
        <v>2697651</v>
      </c>
      <c r="T65" s="34">
        <v>3935748</v>
      </c>
      <c r="U65" s="34">
        <v>3692353</v>
      </c>
      <c r="V65" s="34">
        <v>3794656</v>
      </c>
      <c r="W65" s="34">
        <v>107172</v>
      </c>
      <c r="X65" s="34">
        <v>7004565</v>
      </c>
      <c r="Y65" s="34">
        <v>12414185</v>
      </c>
      <c r="Z65" s="34">
        <v>12725311</v>
      </c>
      <c r="AA65" s="34">
        <v>457434</v>
      </c>
    </row>
    <row r="66" spans="1:27" ht="15.75" x14ac:dyDescent="0.25">
      <c r="A66" s="36">
        <v>45444</v>
      </c>
      <c r="B66" s="37">
        <v>61162469</v>
      </c>
      <c r="C66" s="44">
        <f>'Non-performing_after_2019'!B66</f>
        <v>2576514</v>
      </c>
      <c r="D66" s="50">
        <f t="shared" ref="D66:D80" si="1">C66/B66</f>
        <v>4.2125735636996606E-2</v>
      </c>
      <c r="E66" s="37">
        <v>12810257</v>
      </c>
      <c r="F66" s="37">
        <v>1567501</v>
      </c>
      <c r="G66" s="37">
        <v>161913</v>
      </c>
      <c r="H66" s="37">
        <v>405113</v>
      </c>
      <c r="I66" s="37">
        <v>1720371</v>
      </c>
      <c r="J66" s="37">
        <v>2074160</v>
      </c>
      <c r="K66" s="37">
        <v>350724</v>
      </c>
      <c r="L66" s="37">
        <v>2080011</v>
      </c>
      <c r="M66" s="37">
        <v>827086</v>
      </c>
      <c r="N66" s="37">
        <v>16032</v>
      </c>
      <c r="O66" s="37">
        <v>2223741</v>
      </c>
      <c r="P66" s="37">
        <v>319578</v>
      </c>
      <c r="Q66" s="37">
        <v>1493179</v>
      </c>
      <c r="R66" s="37">
        <v>2770471</v>
      </c>
      <c r="S66" s="37">
        <v>2727730</v>
      </c>
      <c r="T66" s="37">
        <v>4154278</v>
      </c>
      <c r="U66" s="37">
        <v>3899948</v>
      </c>
      <c r="V66" s="37">
        <v>3896402</v>
      </c>
      <c r="W66" s="37">
        <v>103230</v>
      </c>
      <c r="X66" s="37">
        <v>6980127</v>
      </c>
      <c r="Y66" s="37">
        <v>12807929</v>
      </c>
      <c r="Z66" s="37">
        <v>13071300</v>
      </c>
      <c r="AA66" s="37">
        <v>444547</v>
      </c>
    </row>
    <row r="67" spans="1:27" ht="15.75" x14ac:dyDescent="0.25">
      <c r="A67" s="36">
        <v>45474</v>
      </c>
      <c r="B67" s="37">
        <v>62361626</v>
      </c>
      <c r="C67" s="44">
        <f>'Non-performing_after_2019'!B67</f>
        <v>2608498</v>
      </c>
      <c r="D67" s="50">
        <f t="shared" si="1"/>
        <v>4.1828575797558581E-2</v>
      </c>
      <c r="E67" s="37">
        <v>13070448</v>
      </c>
      <c r="F67" s="37">
        <v>1509996</v>
      </c>
      <c r="G67" s="37">
        <v>162911</v>
      </c>
      <c r="H67" s="37">
        <v>386087</v>
      </c>
      <c r="I67" s="37">
        <v>1727493</v>
      </c>
      <c r="J67" s="37">
        <v>2185911</v>
      </c>
      <c r="K67" s="37">
        <v>349274</v>
      </c>
      <c r="L67" s="37">
        <v>2173882</v>
      </c>
      <c r="M67" s="37">
        <v>837866</v>
      </c>
      <c r="N67" s="37">
        <v>15021</v>
      </c>
      <c r="O67" s="37">
        <v>2336149</v>
      </c>
      <c r="P67" s="37">
        <v>306457</v>
      </c>
      <c r="Q67" s="37">
        <v>1492721</v>
      </c>
      <c r="R67" s="37">
        <v>2784352</v>
      </c>
      <c r="S67" s="37">
        <v>2741126</v>
      </c>
      <c r="T67" s="37">
        <v>4292280</v>
      </c>
      <c r="U67" s="37">
        <v>4025756</v>
      </c>
      <c r="V67" s="37">
        <v>3986478</v>
      </c>
      <c r="W67" s="37">
        <v>98758</v>
      </c>
      <c r="X67" s="37">
        <v>7102323</v>
      </c>
      <c r="Y67" s="37">
        <v>13442415</v>
      </c>
      <c r="Z67" s="37">
        <v>12951189</v>
      </c>
      <c r="AA67" s="37">
        <v>460329</v>
      </c>
    </row>
    <row r="68" spans="1:27" ht="15.75" x14ac:dyDescent="0.25">
      <c r="A68" s="36">
        <v>45505</v>
      </c>
      <c r="B68" s="37">
        <v>63714248</v>
      </c>
      <c r="C68" s="44">
        <f>'Non-performing_after_2019'!B68</f>
        <v>2637829</v>
      </c>
      <c r="D68" s="50">
        <f t="shared" si="1"/>
        <v>4.1400928093822904E-2</v>
      </c>
      <c r="E68" s="37">
        <v>13376678</v>
      </c>
      <c r="F68" s="37">
        <v>1575552</v>
      </c>
      <c r="G68" s="37">
        <v>160228</v>
      </c>
      <c r="H68" s="37">
        <v>394328</v>
      </c>
      <c r="I68" s="37">
        <v>1743922</v>
      </c>
      <c r="J68" s="37">
        <v>2168181</v>
      </c>
      <c r="K68" s="37">
        <v>346211</v>
      </c>
      <c r="L68" s="37">
        <v>2234598</v>
      </c>
      <c r="M68" s="37">
        <v>906157</v>
      </c>
      <c r="N68" s="37">
        <v>15244</v>
      </c>
      <c r="O68" s="37">
        <v>2421889</v>
      </c>
      <c r="P68" s="37">
        <v>318954</v>
      </c>
      <c r="Q68" s="37">
        <v>1563687</v>
      </c>
      <c r="R68" s="37">
        <v>2822633</v>
      </c>
      <c r="S68" s="37">
        <v>2779125</v>
      </c>
      <c r="T68" s="37">
        <v>4482619</v>
      </c>
      <c r="U68" s="37">
        <v>4200602</v>
      </c>
      <c r="V68" s="37">
        <v>4046526</v>
      </c>
      <c r="W68" s="37">
        <v>96335</v>
      </c>
      <c r="X68" s="37">
        <v>7184390</v>
      </c>
      <c r="Y68" s="37">
        <v>13789841</v>
      </c>
      <c r="Z68" s="37">
        <v>13152877</v>
      </c>
      <c r="AA68" s="37">
        <v>457860</v>
      </c>
    </row>
    <row r="69" spans="1:27" ht="15.75" x14ac:dyDescent="0.25">
      <c r="A69" s="36">
        <v>45536</v>
      </c>
      <c r="B69" s="37">
        <v>65058152</v>
      </c>
      <c r="C69" s="44">
        <f>'Non-performing_after_2019'!B69</f>
        <v>2581059</v>
      </c>
      <c r="D69" s="50">
        <f t="shared" si="1"/>
        <v>3.9673106607762236E-2</v>
      </c>
      <c r="E69" s="37">
        <v>13887906</v>
      </c>
      <c r="F69" s="37">
        <v>1605976</v>
      </c>
      <c r="G69" s="37">
        <v>159546</v>
      </c>
      <c r="H69" s="37">
        <v>394836</v>
      </c>
      <c r="I69" s="37">
        <v>1959609</v>
      </c>
      <c r="J69" s="37">
        <v>2284510</v>
      </c>
      <c r="K69" s="37">
        <v>324764</v>
      </c>
      <c r="L69" s="37">
        <v>2193982</v>
      </c>
      <c r="M69" s="37">
        <v>1001581</v>
      </c>
      <c r="N69" s="37">
        <v>16943</v>
      </c>
      <c r="O69" s="37">
        <v>2523745</v>
      </c>
      <c r="P69" s="37">
        <v>341062</v>
      </c>
      <c r="Q69" s="37">
        <v>1570591</v>
      </c>
      <c r="R69" s="37">
        <v>2831902</v>
      </c>
      <c r="S69" s="37">
        <v>2788276</v>
      </c>
      <c r="T69" s="37">
        <v>4612317</v>
      </c>
      <c r="U69" s="37">
        <v>4326856</v>
      </c>
      <c r="V69" s="37">
        <v>4122129</v>
      </c>
      <c r="W69" s="37">
        <v>93156</v>
      </c>
      <c r="X69" s="37">
        <v>7237515</v>
      </c>
      <c r="Y69" s="37">
        <v>14231337</v>
      </c>
      <c r="Z69" s="37">
        <v>13240462</v>
      </c>
      <c r="AA69" s="37">
        <v>475575</v>
      </c>
    </row>
    <row r="70" spans="1:27" ht="15.75" x14ac:dyDescent="0.25">
      <c r="A70" s="36">
        <v>45566</v>
      </c>
      <c r="B70" s="37">
        <v>66606796</v>
      </c>
      <c r="C70" s="44">
        <f>'Non-performing_after_2019'!B70</f>
        <v>2609310</v>
      </c>
      <c r="D70" s="50">
        <f t="shared" si="1"/>
        <v>3.9174831349041317E-2</v>
      </c>
      <c r="E70" s="37">
        <v>14742097</v>
      </c>
      <c r="F70" s="37">
        <v>1634810</v>
      </c>
      <c r="G70" s="37">
        <v>158408</v>
      </c>
      <c r="H70" s="37">
        <v>387977</v>
      </c>
      <c r="I70" s="37">
        <v>2338855</v>
      </c>
      <c r="J70" s="37">
        <v>2396654</v>
      </c>
      <c r="K70" s="37">
        <v>326257</v>
      </c>
      <c r="L70" s="37">
        <v>2323910</v>
      </c>
      <c r="M70" s="37">
        <v>1054513</v>
      </c>
      <c r="N70" s="37">
        <v>15792</v>
      </c>
      <c r="O70" s="37">
        <v>2647415</v>
      </c>
      <c r="P70" s="37">
        <v>362434</v>
      </c>
      <c r="Q70" s="37">
        <v>1573107</v>
      </c>
      <c r="R70" s="37">
        <v>2827940</v>
      </c>
      <c r="S70" s="37">
        <v>2784282</v>
      </c>
      <c r="T70" s="37">
        <v>4560062</v>
      </c>
      <c r="U70" s="37">
        <v>4267288</v>
      </c>
      <c r="V70" s="37">
        <v>4232160</v>
      </c>
      <c r="W70" s="37">
        <v>90320</v>
      </c>
      <c r="X70" s="37">
        <v>7269473</v>
      </c>
      <c r="Y70" s="37">
        <v>14500360</v>
      </c>
      <c r="Z70" s="37">
        <v>13532339</v>
      </c>
      <c r="AA70" s="37">
        <v>507652</v>
      </c>
    </row>
    <row r="71" spans="1:27" ht="15.75" x14ac:dyDescent="0.25">
      <c r="A71" s="36">
        <v>45597</v>
      </c>
      <c r="B71" s="37">
        <v>68629314</v>
      </c>
      <c r="C71" s="44">
        <f>'Non-performing_after_2019'!B71</f>
        <v>2613655</v>
      </c>
      <c r="D71" s="50">
        <f t="shared" si="1"/>
        <v>3.8083653291361763E-2</v>
      </c>
      <c r="E71" s="37">
        <v>15296144</v>
      </c>
      <c r="F71" s="37">
        <v>1712359</v>
      </c>
      <c r="G71" s="37">
        <v>147455</v>
      </c>
      <c r="H71" s="37">
        <v>405004</v>
      </c>
      <c r="I71" s="37">
        <v>2242270</v>
      </c>
      <c r="J71" s="37">
        <v>2627809</v>
      </c>
      <c r="K71" s="37">
        <v>323166</v>
      </c>
      <c r="L71" s="37">
        <v>2379374</v>
      </c>
      <c r="M71" s="37">
        <v>1183114</v>
      </c>
      <c r="N71" s="37">
        <v>16659</v>
      </c>
      <c r="O71" s="37">
        <v>2768880</v>
      </c>
      <c r="P71" s="37">
        <v>376141</v>
      </c>
      <c r="Q71" s="37">
        <v>1603748</v>
      </c>
      <c r="R71" s="37">
        <v>2811008</v>
      </c>
      <c r="S71" s="37">
        <v>2767339</v>
      </c>
      <c r="T71" s="37">
        <v>4701722</v>
      </c>
      <c r="U71" s="37">
        <v>4395109</v>
      </c>
      <c r="V71" s="37">
        <v>4287046</v>
      </c>
      <c r="W71" s="37">
        <v>88242</v>
      </c>
      <c r="X71" s="37">
        <v>7499641</v>
      </c>
      <c r="Y71" s="37">
        <v>14824730</v>
      </c>
      <c r="Z71" s="37">
        <v>14124244</v>
      </c>
      <c r="AA71" s="37">
        <v>521594</v>
      </c>
    </row>
    <row r="72" spans="1:27" ht="15.75" x14ac:dyDescent="0.25">
      <c r="A72" s="36">
        <v>45627</v>
      </c>
      <c r="B72" s="37">
        <v>69315518</v>
      </c>
      <c r="C72" s="44">
        <f>'Non-performing_after_2019'!B72</f>
        <v>2561908</v>
      </c>
      <c r="D72" s="50">
        <f t="shared" si="1"/>
        <v>3.6960093120850655E-2</v>
      </c>
      <c r="E72" s="37">
        <v>15725701</v>
      </c>
      <c r="F72" s="37">
        <v>1742292</v>
      </c>
      <c r="G72" s="37">
        <v>140988</v>
      </c>
      <c r="H72" s="37">
        <v>427617</v>
      </c>
      <c r="I72" s="37">
        <v>2346734</v>
      </c>
      <c r="J72" s="37">
        <v>2745569</v>
      </c>
      <c r="K72" s="37">
        <v>317294</v>
      </c>
      <c r="L72" s="37">
        <v>2364902</v>
      </c>
      <c r="M72" s="37">
        <v>1269761</v>
      </c>
      <c r="N72" s="37">
        <v>17967</v>
      </c>
      <c r="O72" s="37">
        <v>2823041</v>
      </c>
      <c r="P72" s="37">
        <v>406690</v>
      </c>
      <c r="Q72" s="37">
        <v>1608415</v>
      </c>
      <c r="R72" s="37">
        <v>2786836</v>
      </c>
      <c r="S72" s="37">
        <v>2743206</v>
      </c>
      <c r="T72" s="37">
        <v>4776551</v>
      </c>
      <c r="U72" s="37">
        <v>4457240</v>
      </c>
      <c r="V72" s="37">
        <v>4409568</v>
      </c>
      <c r="W72" s="37">
        <v>85191</v>
      </c>
      <c r="X72" s="37">
        <v>7472689</v>
      </c>
      <c r="Y72" s="37">
        <v>15041414</v>
      </c>
      <c r="Z72" s="37">
        <v>13927243</v>
      </c>
      <c r="AA72" s="37">
        <v>553743</v>
      </c>
    </row>
    <row r="73" spans="1:27" ht="15.75" x14ac:dyDescent="0.25">
      <c r="A73" s="12">
        <v>45658</v>
      </c>
      <c r="B73" s="13">
        <v>69775239</v>
      </c>
      <c r="C73" s="44">
        <f>'Non-performing_after_2019'!B73</f>
        <v>2542932</v>
      </c>
      <c r="D73" s="50">
        <f t="shared" si="1"/>
        <v>3.6444618985826766E-2</v>
      </c>
      <c r="E73" s="13">
        <v>15969845</v>
      </c>
      <c r="F73" s="13">
        <v>1759270</v>
      </c>
      <c r="G73" s="13">
        <v>139858</v>
      </c>
      <c r="H73" s="13">
        <v>426535</v>
      </c>
      <c r="I73" s="13">
        <v>2371576</v>
      </c>
      <c r="J73" s="13">
        <v>2865779</v>
      </c>
      <c r="K73" s="13">
        <v>321308</v>
      </c>
      <c r="L73" s="13">
        <v>2447426</v>
      </c>
      <c r="M73" s="13">
        <v>1258465</v>
      </c>
      <c r="N73" s="13">
        <v>22226</v>
      </c>
      <c r="O73" s="13">
        <v>2850644</v>
      </c>
      <c r="P73" s="13">
        <v>470943</v>
      </c>
      <c r="Q73" s="13">
        <v>1637854</v>
      </c>
      <c r="R73" s="13">
        <v>2823315</v>
      </c>
      <c r="S73" s="13">
        <v>2780048</v>
      </c>
      <c r="T73" s="13">
        <v>4628929</v>
      </c>
      <c r="U73" s="13">
        <v>4329036</v>
      </c>
      <c r="V73" s="13">
        <v>4447691</v>
      </c>
      <c r="W73" s="13">
        <v>80773</v>
      </c>
      <c r="X73" s="13">
        <v>7406276</v>
      </c>
      <c r="Y73" s="13">
        <v>15039003</v>
      </c>
      <c r="Z73" s="13">
        <v>14201211</v>
      </c>
      <c r="AA73" s="13">
        <v>494264</v>
      </c>
    </row>
    <row r="74" spans="1:27" s="45" customFormat="1" ht="15.75" x14ac:dyDescent="0.25">
      <c r="A74" s="12">
        <v>45689</v>
      </c>
      <c r="B74" s="44">
        <v>76471037</v>
      </c>
      <c r="C74" s="44">
        <f>'Non-performing_after_2019'!B74</f>
        <v>2605623</v>
      </c>
      <c r="D74" s="50">
        <f t="shared" si="1"/>
        <v>3.4073331580425671E-2</v>
      </c>
      <c r="E74" s="44">
        <v>18827782</v>
      </c>
      <c r="F74" s="44">
        <v>1844813</v>
      </c>
      <c r="G74" s="44">
        <v>152231</v>
      </c>
      <c r="H74" s="44">
        <v>437256</v>
      </c>
      <c r="I74" s="44">
        <v>3318691</v>
      </c>
      <c r="J74" s="44">
        <v>4242676</v>
      </c>
      <c r="K74" s="44">
        <v>365067</v>
      </c>
      <c r="L74" s="44">
        <v>3373398</v>
      </c>
      <c r="M74" s="44">
        <v>965703</v>
      </c>
      <c r="N74" s="44">
        <v>21317</v>
      </c>
      <c r="O74" s="44">
        <v>2536710</v>
      </c>
      <c r="P74" s="44">
        <v>451541</v>
      </c>
      <c r="Q74" s="44">
        <v>1632317</v>
      </c>
      <c r="R74" s="44">
        <v>2832747</v>
      </c>
      <c r="S74" s="44">
        <v>2791799</v>
      </c>
      <c r="T74" s="44">
        <v>4311695</v>
      </c>
      <c r="U74" s="44">
        <v>3970070</v>
      </c>
      <c r="V74" s="44">
        <v>4543273</v>
      </c>
      <c r="W74" s="44">
        <v>87519</v>
      </c>
      <c r="X74" s="44">
        <v>7551656</v>
      </c>
      <c r="Y74" s="44">
        <v>15449495</v>
      </c>
      <c r="Z74" s="44">
        <v>15609143</v>
      </c>
      <c r="AA74" s="44">
        <v>491876</v>
      </c>
    </row>
    <row r="75" spans="1:27" s="45" customFormat="1" ht="15.75" x14ac:dyDescent="0.25">
      <c r="A75" s="12">
        <v>45717</v>
      </c>
      <c r="B75" s="44">
        <v>75753369</v>
      </c>
      <c r="C75" s="44">
        <f>'Non-performing_after_2019'!B75</f>
        <v>2644120</v>
      </c>
      <c r="D75" s="50">
        <f t="shared" si="1"/>
        <v>3.490432220908881E-2</v>
      </c>
      <c r="E75" s="44">
        <v>18801325</v>
      </c>
      <c r="F75" s="44">
        <v>1845207</v>
      </c>
      <c r="G75" s="44">
        <v>151769</v>
      </c>
      <c r="H75" s="44">
        <v>457787</v>
      </c>
      <c r="I75" s="44">
        <v>3458567</v>
      </c>
      <c r="J75" s="44">
        <v>4228319</v>
      </c>
      <c r="K75" s="44">
        <v>365969</v>
      </c>
      <c r="L75" s="44">
        <v>3295308</v>
      </c>
      <c r="M75" s="44">
        <v>915746</v>
      </c>
      <c r="N75" s="44">
        <v>73893</v>
      </c>
      <c r="O75" s="44">
        <v>2489752</v>
      </c>
      <c r="P75" s="44">
        <v>422506</v>
      </c>
      <c r="Q75" s="44">
        <v>1619628</v>
      </c>
      <c r="R75" s="44">
        <v>2848523</v>
      </c>
      <c r="S75" s="44">
        <v>2808067</v>
      </c>
      <c r="T75" s="44">
        <v>4365748</v>
      </c>
      <c r="U75" s="44">
        <v>4020094</v>
      </c>
      <c r="V75" s="44">
        <v>4486280</v>
      </c>
      <c r="W75" s="44">
        <v>85959</v>
      </c>
      <c r="X75" s="44">
        <v>7413929</v>
      </c>
      <c r="Y75" s="44">
        <v>15523621</v>
      </c>
      <c r="Z75" s="44">
        <v>15250710</v>
      </c>
      <c r="AA75" s="44">
        <v>487607</v>
      </c>
    </row>
    <row r="76" spans="1:27" s="45" customFormat="1" ht="15.75" x14ac:dyDescent="0.25">
      <c r="A76" s="12">
        <v>45748</v>
      </c>
      <c r="B76" s="44">
        <v>76215638</v>
      </c>
      <c r="C76" s="44">
        <f>'Non-performing_after_2019'!B76</f>
        <v>2683133</v>
      </c>
      <c r="D76" s="50">
        <f t="shared" si="1"/>
        <v>3.5204494384735059E-2</v>
      </c>
      <c r="E76" s="44">
        <v>19161334</v>
      </c>
      <c r="F76" s="44">
        <v>1861974</v>
      </c>
      <c r="G76" s="44">
        <v>152019</v>
      </c>
      <c r="H76" s="44">
        <v>472680</v>
      </c>
      <c r="I76" s="44">
        <v>3766212</v>
      </c>
      <c r="J76" s="44">
        <v>4257785</v>
      </c>
      <c r="K76" s="44">
        <v>371470</v>
      </c>
      <c r="L76" s="44">
        <v>3358725</v>
      </c>
      <c r="M76" s="44">
        <v>897265</v>
      </c>
      <c r="N76" s="44">
        <v>61574</v>
      </c>
      <c r="O76" s="44">
        <v>2475368</v>
      </c>
      <c r="P76" s="44">
        <v>407071</v>
      </c>
      <c r="Q76" s="44">
        <v>1575293</v>
      </c>
      <c r="R76" s="44">
        <v>2864121</v>
      </c>
      <c r="S76" s="44">
        <v>2824154</v>
      </c>
      <c r="T76" s="44">
        <v>4457697</v>
      </c>
      <c r="U76" s="44">
        <v>4121929</v>
      </c>
      <c r="V76" s="44">
        <v>4474070</v>
      </c>
      <c r="W76" s="44">
        <v>81862</v>
      </c>
      <c r="X76" s="44">
        <v>7284805</v>
      </c>
      <c r="Y76" s="44">
        <v>15497407</v>
      </c>
      <c r="Z76" s="44">
        <v>15379520</v>
      </c>
      <c r="AA76" s="44">
        <v>493948</v>
      </c>
    </row>
    <row r="77" spans="1:27" ht="15.75" x14ac:dyDescent="0.25">
      <c r="A77" s="38">
        <v>45778</v>
      </c>
      <c r="B77" s="44">
        <v>77055646</v>
      </c>
      <c r="C77" s="44">
        <f>'Non-performing_after_2019'!B77</f>
        <v>2751340</v>
      </c>
      <c r="D77" s="50">
        <f t="shared" si="1"/>
        <v>3.5705884549978334E-2</v>
      </c>
      <c r="E77" s="44">
        <v>19342670</v>
      </c>
      <c r="F77" s="44">
        <v>1842695</v>
      </c>
      <c r="G77" s="44">
        <v>152203</v>
      </c>
      <c r="H77" s="44">
        <v>475970</v>
      </c>
      <c r="I77" s="44">
        <v>3818597</v>
      </c>
      <c r="J77" s="44">
        <v>4323959</v>
      </c>
      <c r="K77" s="44">
        <v>375220</v>
      </c>
      <c r="L77" s="44">
        <v>3309234</v>
      </c>
      <c r="M77" s="44">
        <v>939572</v>
      </c>
      <c r="N77" s="44">
        <v>60705</v>
      </c>
      <c r="O77" s="44">
        <v>2492204</v>
      </c>
      <c r="P77" s="44">
        <v>411832</v>
      </c>
      <c r="Q77" s="44">
        <v>1613333</v>
      </c>
      <c r="R77" s="44">
        <v>2898998</v>
      </c>
      <c r="S77" s="44">
        <v>2859597</v>
      </c>
      <c r="T77" s="44">
        <v>4628818</v>
      </c>
      <c r="U77" s="44">
        <v>4280364</v>
      </c>
      <c r="V77" s="44">
        <v>4559422</v>
      </c>
      <c r="W77" s="44">
        <v>78532</v>
      </c>
      <c r="X77" s="44">
        <v>7453899</v>
      </c>
      <c r="Y77" s="44">
        <v>15623958</v>
      </c>
      <c r="Z77" s="44">
        <v>15273292</v>
      </c>
      <c r="AA77" s="44">
        <v>483078</v>
      </c>
    </row>
    <row r="78" spans="1:27" ht="15.75" x14ac:dyDescent="0.25">
      <c r="A78" s="38">
        <v>45809</v>
      </c>
      <c r="B78" s="44">
        <v>77220396</v>
      </c>
      <c r="C78" s="44">
        <f>'Non-performing_after_2019'!B78</f>
        <v>2772521</v>
      </c>
      <c r="D78" s="50">
        <f t="shared" si="1"/>
        <v>3.5903998731112441E-2</v>
      </c>
      <c r="E78" s="44">
        <v>19413939</v>
      </c>
      <c r="F78" s="44">
        <v>1823096</v>
      </c>
      <c r="G78" s="44">
        <v>150988</v>
      </c>
      <c r="H78" s="44">
        <v>516152</v>
      </c>
      <c r="I78" s="44">
        <v>3913750</v>
      </c>
      <c r="J78" s="44">
        <v>4251526</v>
      </c>
      <c r="K78" s="44">
        <v>372669</v>
      </c>
      <c r="L78" s="44">
        <v>3251435</v>
      </c>
      <c r="M78" s="44">
        <v>969889</v>
      </c>
      <c r="N78" s="44">
        <v>60822</v>
      </c>
      <c r="O78" s="44">
        <v>2537265</v>
      </c>
      <c r="P78" s="44">
        <v>430383</v>
      </c>
      <c r="Q78" s="44">
        <v>1587159</v>
      </c>
      <c r="R78" s="44">
        <v>2948413</v>
      </c>
      <c r="S78" s="44">
        <v>2909414</v>
      </c>
      <c r="T78" s="44">
        <v>4744764</v>
      </c>
      <c r="U78" s="44">
        <v>4386673</v>
      </c>
      <c r="V78" s="44">
        <v>4714398</v>
      </c>
      <c r="W78" s="44">
        <v>75554</v>
      </c>
      <c r="X78" s="44">
        <v>7310028</v>
      </c>
      <c r="Y78" s="44">
        <v>15719741</v>
      </c>
      <c r="Z78" s="44">
        <v>15098441</v>
      </c>
      <c r="AA78" s="44">
        <v>467567</v>
      </c>
    </row>
    <row r="79" spans="1:27" ht="15.75" x14ac:dyDescent="0.25">
      <c r="A79" s="38">
        <v>45839</v>
      </c>
      <c r="B79" s="44">
        <v>77783537</v>
      </c>
      <c r="C79" s="44">
        <f>'Non-performing_after_2019'!B79</f>
        <v>2808072</v>
      </c>
      <c r="D79" s="50">
        <f t="shared" si="1"/>
        <v>3.6101109673117589E-2</v>
      </c>
      <c r="E79" s="44">
        <v>19752444</v>
      </c>
      <c r="F79" s="44">
        <v>1821607</v>
      </c>
      <c r="G79" s="44">
        <v>161672</v>
      </c>
      <c r="H79" s="44">
        <v>509276</v>
      </c>
      <c r="I79" s="44">
        <v>4009339</v>
      </c>
      <c r="J79" s="44">
        <v>4445236</v>
      </c>
      <c r="K79" s="44">
        <v>353311</v>
      </c>
      <c r="L79" s="44">
        <v>3237194</v>
      </c>
      <c r="M79" s="44">
        <v>969755</v>
      </c>
      <c r="N79" s="44">
        <v>50556</v>
      </c>
      <c r="O79" s="44">
        <v>2599557</v>
      </c>
      <c r="P79" s="44">
        <v>435312</v>
      </c>
      <c r="Q79" s="44">
        <v>1590125</v>
      </c>
      <c r="R79" s="44">
        <v>2968779</v>
      </c>
      <c r="S79" s="44">
        <v>2929871</v>
      </c>
      <c r="T79" s="44">
        <v>4865356</v>
      </c>
      <c r="U79" s="44">
        <v>4502480</v>
      </c>
      <c r="V79" s="44">
        <v>4717234</v>
      </c>
      <c r="W79" s="44">
        <v>71085</v>
      </c>
      <c r="X79" s="44">
        <v>7224188</v>
      </c>
      <c r="Y79" s="44">
        <v>15900573</v>
      </c>
      <c r="Z79" s="44">
        <v>15038853</v>
      </c>
      <c r="AA79" s="44">
        <v>486898</v>
      </c>
    </row>
    <row r="80" spans="1:27" ht="15.75" x14ac:dyDescent="0.25">
      <c r="A80" s="38">
        <v>45870</v>
      </c>
      <c r="B80" s="44">
        <v>78659225</v>
      </c>
      <c r="C80" s="44">
        <f>'Non-performing_after_2019'!B80</f>
        <v>2816229</v>
      </c>
      <c r="D80" s="50">
        <f t="shared" si="1"/>
        <v>3.5802908050517918E-2</v>
      </c>
      <c r="E80" s="44">
        <v>20087811</v>
      </c>
      <c r="F80" s="44">
        <v>1844528</v>
      </c>
      <c r="G80" s="44">
        <v>161099</v>
      </c>
      <c r="H80" s="44">
        <v>512774</v>
      </c>
      <c r="I80" s="44">
        <v>4061983</v>
      </c>
      <c r="J80" s="44">
        <v>4491420</v>
      </c>
      <c r="K80" s="44">
        <v>378181</v>
      </c>
      <c r="L80" s="44">
        <v>3315669</v>
      </c>
      <c r="M80" s="44">
        <v>1006782</v>
      </c>
      <c r="N80" s="44">
        <v>45703</v>
      </c>
      <c r="O80" s="44">
        <v>2655748</v>
      </c>
      <c r="P80" s="44">
        <v>439645</v>
      </c>
      <c r="Q80" s="44">
        <v>1644131</v>
      </c>
      <c r="R80" s="44">
        <v>2953467</v>
      </c>
      <c r="S80" s="44">
        <v>2914641</v>
      </c>
      <c r="T80" s="44">
        <v>4950581</v>
      </c>
      <c r="U80" s="44">
        <v>4581732</v>
      </c>
      <c r="V80" s="44">
        <v>4696420</v>
      </c>
      <c r="W80" s="44">
        <v>108454</v>
      </c>
      <c r="X80" s="44">
        <v>7383118</v>
      </c>
      <c r="Y80" s="44">
        <v>16013720</v>
      </c>
      <c r="Z80" s="44">
        <v>15166050</v>
      </c>
      <c r="AA80" s="44">
        <v>453333</v>
      </c>
    </row>
    <row r="81" spans="1:27" ht="15.75" x14ac:dyDescent="0.25">
      <c r="A81" s="38">
        <v>45901</v>
      </c>
      <c r="B81" s="44">
        <v>79684852</v>
      </c>
      <c r="C81" s="44">
        <f>'Non-performing_after_2019'!B81</f>
        <v>2827694</v>
      </c>
      <c r="D81" s="50">
        <f>C81/B81</f>
        <v>3.5485966642693899E-2</v>
      </c>
      <c r="E81" s="44">
        <v>20528051</v>
      </c>
      <c r="F81" s="44">
        <v>1858716</v>
      </c>
      <c r="G81" s="44">
        <v>161284</v>
      </c>
      <c r="H81" s="44">
        <v>513811</v>
      </c>
      <c r="I81" s="44">
        <v>4183000</v>
      </c>
      <c r="J81" s="44">
        <v>4542871</v>
      </c>
      <c r="K81" s="44">
        <v>378771</v>
      </c>
      <c r="L81" s="44">
        <v>3306264</v>
      </c>
      <c r="M81" s="44">
        <v>1144637</v>
      </c>
      <c r="N81" s="44">
        <v>41769</v>
      </c>
      <c r="O81" s="44">
        <v>2677955</v>
      </c>
      <c r="P81" s="44">
        <v>442119</v>
      </c>
      <c r="Q81" s="44">
        <v>1666254</v>
      </c>
      <c r="R81" s="44">
        <v>3000122</v>
      </c>
      <c r="S81" s="44">
        <v>2961303</v>
      </c>
      <c r="T81" s="44">
        <v>5009025</v>
      </c>
      <c r="U81" s="44">
        <v>4640703</v>
      </c>
      <c r="V81" s="44">
        <v>4635432</v>
      </c>
      <c r="W81" s="44">
        <v>114325</v>
      </c>
      <c r="X81" s="44">
        <v>7398255</v>
      </c>
      <c r="Y81" s="44">
        <v>16391412</v>
      </c>
      <c r="Z81" s="44">
        <v>15313700</v>
      </c>
      <c r="AA81" s="44">
        <v>438517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81"/>
  <sheetViews>
    <sheetView tabSelected="1" zoomScale="95" zoomScaleNormal="95" workbookViewId="0">
      <selection activeCell="E12" sqref="E12"/>
    </sheetView>
  </sheetViews>
  <sheetFormatPr defaultColWidth="8.7109375" defaultRowHeight="15" x14ac:dyDescent="0.25"/>
  <cols>
    <col min="1" max="1" width="18.5703125" style="1" customWidth="1"/>
    <col min="2" max="2" width="10.5703125" style="1" customWidth="1"/>
    <col min="3" max="27" width="17.42578125" style="1" customWidth="1"/>
    <col min="28" max="28" width="19.42578125" style="1" customWidth="1"/>
    <col min="29" max="16384" width="8.7109375" style="1"/>
  </cols>
  <sheetData>
    <row r="1" spans="1:29" ht="177.6" customHeight="1" x14ac:dyDescent="0.25">
      <c r="A1" s="10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52" t="s">
        <v>39</v>
      </c>
      <c r="H1" s="52" t="s">
        <v>40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  <c r="N1" s="52" t="s">
        <v>46</v>
      </c>
      <c r="O1" s="53" t="s">
        <v>47</v>
      </c>
      <c r="P1" s="11" t="s">
        <v>48</v>
      </c>
      <c r="Q1" s="11" t="s">
        <v>6</v>
      </c>
      <c r="R1" s="52" t="s">
        <v>49</v>
      </c>
      <c r="S1" s="11" t="s">
        <v>50</v>
      </c>
      <c r="T1" s="11" t="s">
        <v>51</v>
      </c>
      <c r="U1" s="11" t="s">
        <v>52</v>
      </c>
      <c r="V1" s="11" t="s">
        <v>53</v>
      </c>
      <c r="W1" s="11" t="s">
        <v>54</v>
      </c>
      <c r="X1" s="11" t="s">
        <v>55</v>
      </c>
      <c r="Y1" s="11" t="s">
        <v>11</v>
      </c>
      <c r="Z1" s="11" t="s">
        <v>12</v>
      </c>
      <c r="AA1" s="11" t="s">
        <v>13</v>
      </c>
      <c r="AB1" s="15" t="s">
        <v>56</v>
      </c>
      <c r="AC1" s="35" t="s">
        <v>58</v>
      </c>
    </row>
    <row r="2" spans="1:29" ht="15.75" x14ac:dyDescent="0.25">
      <c r="A2" s="12">
        <v>43497</v>
      </c>
      <c r="B2" s="13">
        <v>1949294</v>
      </c>
      <c r="C2" s="13">
        <v>8647</v>
      </c>
      <c r="D2" s="13">
        <v>4559</v>
      </c>
      <c r="E2" s="13">
        <v>330899</v>
      </c>
      <c r="F2" s="13">
        <v>101574</v>
      </c>
      <c r="G2" s="13">
        <v>14484</v>
      </c>
      <c r="H2" s="13">
        <v>10398</v>
      </c>
      <c r="I2" s="13">
        <v>10596</v>
      </c>
      <c r="J2" s="13">
        <v>7246</v>
      </c>
      <c r="K2" s="13">
        <v>64824</v>
      </c>
      <c r="L2" s="13">
        <v>47588</v>
      </c>
      <c r="M2" s="13">
        <v>15007</v>
      </c>
      <c r="N2" s="13">
        <v>266</v>
      </c>
      <c r="O2" s="13">
        <v>6547</v>
      </c>
      <c r="P2" s="13">
        <v>1334</v>
      </c>
      <c r="Q2" s="13">
        <v>23070</v>
      </c>
      <c r="R2" s="13">
        <v>159894</v>
      </c>
      <c r="S2" s="13">
        <v>154522</v>
      </c>
      <c r="T2" s="13">
        <v>259094</v>
      </c>
      <c r="U2" s="13">
        <v>228912</v>
      </c>
      <c r="V2" s="13">
        <v>38647</v>
      </c>
      <c r="W2" s="13">
        <v>874</v>
      </c>
      <c r="X2" s="13">
        <v>467236</v>
      </c>
      <c r="Y2" s="13">
        <v>363712</v>
      </c>
      <c r="Z2" s="13">
        <v>284633</v>
      </c>
      <c r="AA2" s="13">
        <v>13461</v>
      </c>
    </row>
    <row r="3" spans="1:29" ht="15.75" x14ac:dyDescent="0.25">
      <c r="A3" s="12">
        <v>43525</v>
      </c>
      <c r="B3" s="13">
        <v>2050020</v>
      </c>
      <c r="C3" s="13">
        <v>20790</v>
      </c>
      <c r="D3" s="13">
        <v>16597</v>
      </c>
      <c r="E3" s="13">
        <v>353716</v>
      </c>
      <c r="F3" s="13">
        <v>102703</v>
      </c>
      <c r="G3" s="13">
        <v>14505</v>
      </c>
      <c r="H3" s="13">
        <v>10496</v>
      </c>
      <c r="I3" s="13">
        <v>10347</v>
      </c>
      <c r="J3" s="13">
        <v>7232</v>
      </c>
      <c r="K3" s="13">
        <v>77797</v>
      </c>
      <c r="L3" s="13">
        <v>47035</v>
      </c>
      <c r="M3" s="13">
        <v>20090</v>
      </c>
      <c r="N3" s="13">
        <v>262</v>
      </c>
      <c r="O3" s="13">
        <v>10038</v>
      </c>
      <c r="P3" s="13">
        <v>1334</v>
      </c>
      <c r="Q3" s="13">
        <v>22997</v>
      </c>
      <c r="R3" s="13">
        <v>181058</v>
      </c>
      <c r="S3" s="13">
        <v>162901</v>
      </c>
      <c r="T3" s="13">
        <v>260655</v>
      </c>
      <c r="U3" s="13">
        <v>230837</v>
      </c>
      <c r="V3" s="13">
        <v>39836</v>
      </c>
      <c r="W3" s="13">
        <v>892</v>
      </c>
      <c r="X3" s="13">
        <v>488691</v>
      </c>
      <c r="Y3" s="13">
        <v>362572</v>
      </c>
      <c r="Z3" s="13">
        <v>306056</v>
      </c>
      <c r="AA3" s="13">
        <v>13651</v>
      </c>
    </row>
    <row r="4" spans="1:29" ht="15.75" x14ac:dyDescent="0.25">
      <c r="A4" s="12">
        <v>43556</v>
      </c>
      <c r="B4" s="13">
        <v>2039376</v>
      </c>
      <c r="C4" s="13">
        <v>23598</v>
      </c>
      <c r="D4" s="13">
        <v>19289</v>
      </c>
      <c r="E4" s="13">
        <v>357362</v>
      </c>
      <c r="F4" s="13">
        <v>102048</v>
      </c>
      <c r="G4" s="13">
        <v>20188</v>
      </c>
      <c r="H4" s="13">
        <v>10376</v>
      </c>
      <c r="I4" s="13">
        <v>10283</v>
      </c>
      <c r="J4" s="13">
        <v>7069</v>
      </c>
      <c r="K4" s="13">
        <v>77754</v>
      </c>
      <c r="L4" s="13">
        <v>46559</v>
      </c>
      <c r="M4" s="13">
        <v>20516</v>
      </c>
      <c r="N4" s="13">
        <v>268</v>
      </c>
      <c r="O4" s="13">
        <v>9666</v>
      </c>
      <c r="P4" s="13">
        <v>1333</v>
      </c>
      <c r="Q4" s="13">
        <v>22939</v>
      </c>
      <c r="R4" s="13">
        <v>183416</v>
      </c>
      <c r="S4" s="13">
        <v>165292</v>
      </c>
      <c r="T4" s="13">
        <v>259655</v>
      </c>
      <c r="U4" s="13">
        <v>230458</v>
      </c>
      <c r="V4" s="13">
        <v>41157</v>
      </c>
      <c r="W4" s="13">
        <v>1104</v>
      </c>
      <c r="X4" s="13">
        <v>477341</v>
      </c>
      <c r="Y4" s="13">
        <v>362175</v>
      </c>
      <c r="Z4" s="13">
        <v>297832</v>
      </c>
      <c r="AA4" s="13">
        <v>13901</v>
      </c>
    </row>
    <row r="5" spans="1:29" ht="15.75" x14ac:dyDescent="0.25">
      <c r="A5" s="12">
        <v>43586</v>
      </c>
      <c r="B5" s="13">
        <v>2126326</v>
      </c>
      <c r="C5" s="13">
        <v>23634</v>
      </c>
      <c r="D5" s="13">
        <v>19332</v>
      </c>
      <c r="E5" s="13">
        <v>431309</v>
      </c>
      <c r="F5" s="13">
        <v>101917</v>
      </c>
      <c r="G5" s="13">
        <v>22078</v>
      </c>
      <c r="H5" s="13">
        <v>10299</v>
      </c>
      <c r="I5" s="13">
        <v>15750</v>
      </c>
      <c r="J5" s="13">
        <v>7772</v>
      </c>
      <c r="K5" s="13">
        <v>81781</v>
      </c>
      <c r="L5" s="13">
        <v>46418</v>
      </c>
      <c r="M5" s="13">
        <v>21445</v>
      </c>
      <c r="N5" s="13">
        <v>260</v>
      </c>
      <c r="O5" s="13">
        <v>10229</v>
      </c>
      <c r="P5" s="13">
        <v>1357</v>
      </c>
      <c r="Q5" s="13">
        <v>22977</v>
      </c>
      <c r="R5" s="13">
        <v>185347</v>
      </c>
      <c r="S5" s="13">
        <v>167235</v>
      </c>
      <c r="T5" s="13">
        <v>269132</v>
      </c>
      <c r="U5" s="13">
        <v>239815</v>
      </c>
      <c r="V5" s="13">
        <v>38652</v>
      </c>
      <c r="W5" s="13">
        <v>884</v>
      </c>
      <c r="X5" s="13">
        <v>479291</v>
      </c>
      <c r="Y5" s="13">
        <v>365769</v>
      </c>
      <c r="Z5" s="13">
        <v>296764</v>
      </c>
      <c r="AA5" s="13">
        <v>13452</v>
      </c>
    </row>
    <row r="6" spans="1:29" ht="15.75" x14ac:dyDescent="0.25">
      <c r="A6" s="12">
        <v>43617</v>
      </c>
      <c r="B6" s="13">
        <v>2154522</v>
      </c>
      <c r="C6" s="13">
        <v>23661</v>
      </c>
      <c r="D6" s="13">
        <v>19388</v>
      </c>
      <c r="E6" s="13">
        <v>437136</v>
      </c>
      <c r="F6" s="13">
        <v>102318</v>
      </c>
      <c r="G6" s="13">
        <v>21776</v>
      </c>
      <c r="H6" s="13">
        <v>10334</v>
      </c>
      <c r="I6" s="13">
        <v>21350</v>
      </c>
      <c r="J6" s="13">
        <v>8182</v>
      </c>
      <c r="K6" s="13">
        <v>78098</v>
      </c>
      <c r="L6" s="13">
        <v>48536</v>
      </c>
      <c r="M6" s="13">
        <v>23320</v>
      </c>
      <c r="N6" s="13">
        <v>260</v>
      </c>
      <c r="O6" s="13">
        <v>10286</v>
      </c>
      <c r="P6" s="13">
        <v>1350</v>
      </c>
      <c r="Q6" s="13">
        <v>23188</v>
      </c>
      <c r="R6" s="13">
        <v>184504</v>
      </c>
      <c r="S6" s="13">
        <v>167127</v>
      </c>
      <c r="T6" s="13">
        <v>271132</v>
      </c>
      <c r="U6" s="13">
        <v>241903</v>
      </c>
      <c r="V6" s="13">
        <v>38511</v>
      </c>
      <c r="W6" s="13">
        <v>892</v>
      </c>
      <c r="X6" s="13">
        <v>483565</v>
      </c>
      <c r="Y6" s="13">
        <v>382384</v>
      </c>
      <c r="Z6" s="13">
        <v>296643</v>
      </c>
      <c r="AA6" s="13">
        <v>13798</v>
      </c>
    </row>
    <row r="7" spans="1:29" ht="15.75" x14ac:dyDescent="0.25">
      <c r="A7" s="12">
        <v>43647</v>
      </c>
      <c r="B7" s="13">
        <v>2167683</v>
      </c>
      <c r="C7" s="13">
        <v>26943</v>
      </c>
      <c r="D7" s="13">
        <v>22647</v>
      </c>
      <c r="E7" s="13">
        <v>439061</v>
      </c>
      <c r="F7" s="13">
        <v>102065</v>
      </c>
      <c r="G7" s="13">
        <v>21966</v>
      </c>
      <c r="H7" s="13">
        <v>10326</v>
      </c>
      <c r="I7" s="13">
        <v>21364</v>
      </c>
      <c r="J7" s="13">
        <v>8251</v>
      </c>
      <c r="K7" s="13">
        <v>77893</v>
      </c>
      <c r="L7" s="13">
        <v>48718</v>
      </c>
      <c r="M7" s="13">
        <v>23765</v>
      </c>
      <c r="N7" s="13">
        <v>260</v>
      </c>
      <c r="O7" s="13">
        <v>10166</v>
      </c>
      <c r="P7" s="13">
        <v>1361</v>
      </c>
      <c r="Q7" s="13">
        <v>23333</v>
      </c>
      <c r="R7" s="13">
        <v>187754</v>
      </c>
      <c r="S7" s="13">
        <v>170391</v>
      </c>
      <c r="T7" s="13">
        <v>269421</v>
      </c>
      <c r="U7" s="13">
        <v>241142</v>
      </c>
      <c r="V7" s="13">
        <v>50597</v>
      </c>
      <c r="W7" s="13">
        <v>901</v>
      </c>
      <c r="X7" s="13">
        <v>477532</v>
      </c>
      <c r="Y7" s="13">
        <v>379922</v>
      </c>
      <c r="Z7" s="13">
        <v>298441</v>
      </c>
      <c r="AA7" s="13">
        <v>14679</v>
      </c>
    </row>
    <row r="8" spans="1:29" ht="15.75" x14ac:dyDescent="0.25">
      <c r="A8" s="12">
        <v>43678</v>
      </c>
      <c r="B8" s="13">
        <v>2205926</v>
      </c>
      <c r="C8" s="13">
        <v>27014</v>
      </c>
      <c r="D8" s="13">
        <v>22719</v>
      </c>
      <c r="E8" s="13">
        <v>455711</v>
      </c>
      <c r="F8" s="13">
        <v>104504</v>
      </c>
      <c r="G8" s="13">
        <v>22060</v>
      </c>
      <c r="H8" s="13">
        <v>11107</v>
      </c>
      <c r="I8" s="13">
        <v>23276</v>
      </c>
      <c r="J8" s="13">
        <v>8852</v>
      </c>
      <c r="K8" s="13">
        <v>80576</v>
      </c>
      <c r="L8" s="13">
        <v>48514</v>
      </c>
      <c r="M8" s="13">
        <v>24634</v>
      </c>
      <c r="N8" s="13">
        <v>259</v>
      </c>
      <c r="O8" s="13">
        <v>17535</v>
      </c>
      <c r="P8" s="13">
        <v>8793</v>
      </c>
      <c r="Q8" s="13">
        <v>24487</v>
      </c>
      <c r="R8" s="13">
        <v>189616</v>
      </c>
      <c r="S8" s="13">
        <v>172225</v>
      </c>
      <c r="T8" s="13">
        <v>273469</v>
      </c>
      <c r="U8" s="13">
        <v>244682</v>
      </c>
      <c r="V8" s="13">
        <v>50800</v>
      </c>
      <c r="W8" s="13">
        <v>882</v>
      </c>
      <c r="X8" s="13">
        <v>479987</v>
      </c>
      <c r="Y8" s="13">
        <v>390741</v>
      </c>
      <c r="Z8" s="13">
        <v>298819</v>
      </c>
      <c r="AA8" s="13">
        <v>15282</v>
      </c>
    </row>
    <row r="9" spans="1:29" ht="15.75" x14ac:dyDescent="0.25">
      <c r="A9" s="12">
        <v>43709</v>
      </c>
      <c r="B9" s="13">
        <v>2206565</v>
      </c>
      <c r="C9" s="13">
        <v>30318</v>
      </c>
      <c r="D9" s="13">
        <v>22646</v>
      </c>
      <c r="E9" s="13">
        <v>466994</v>
      </c>
      <c r="F9" s="13">
        <v>101903</v>
      </c>
      <c r="G9" s="13">
        <v>27300</v>
      </c>
      <c r="H9" s="13">
        <v>10417</v>
      </c>
      <c r="I9" s="13">
        <v>23287</v>
      </c>
      <c r="J9" s="13">
        <v>8847</v>
      </c>
      <c r="K9" s="13">
        <v>91173</v>
      </c>
      <c r="L9" s="13">
        <v>49122</v>
      </c>
      <c r="M9" s="13">
        <v>22881</v>
      </c>
      <c r="N9" s="13">
        <v>259</v>
      </c>
      <c r="O9" s="13">
        <v>17463</v>
      </c>
      <c r="P9" s="13">
        <v>8792</v>
      </c>
      <c r="Q9" s="13">
        <v>24392</v>
      </c>
      <c r="R9" s="13">
        <v>186414</v>
      </c>
      <c r="S9" s="13">
        <v>169058</v>
      </c>
      <c r="T9" s="13">
        <v>278149</v>
      </c>
      <c r="U9" s="13">
        <v>249203</v>
      </c>
      <c r="V9" s="13">
        <v>50321</v>
      </c>
      <c r="W9" s="13">
        <v>864</v>
      </c>
      <c r="X9" s="13">
        <v>466324</v>
      </c>
      <c r="Y9" s="13">
        <v>388023</v>
      </c>
      <c r="Z9" s="13">
        <v>300397</v>
      </c>
      <c r="AA9" s="13">
        <v>15235</v>
      </c>
    </row>
    <row r="10" spans="1:29" ht="15.75" x14ac:dyDescent="0.25">
      <c r="A10" s="12">
        <v>43739</v>
      </c>
      <c r="B10" s="13">
        <v>2227953</v>
      </c>
      <c r="C10" s="13">
        <v>31925</v>
      </c>
      <c r="D10" s="13">
        <v>24279</v>
      </c>
      <c r="E10" s="13">
        <v>499394</v>
      </c>
      <c r="F10" s="13">
        <v>100086</v>
      </c>
      <c r="G10" s="13">
        <v>27655</v>
      </c>
      <c r="H10" s="13">
        <v>10452</v>
      </c>
      <c r="I10" s="13">
        <v>36245</v>
      </c>
      <c r="J10" s="13">
        <v>8828</v>
      </c>
      <c r="K10" s="13">
        <v>110573</v>
      </c>
      <c r="L10" s="13">
        <v>49289</v>
      </c>
      <c r="M10" s="13">
        <v>23427</v>
      </c>
      <c r="N10" s="13">
        <v>259</v>
      </c>
      <c r="O10" s="13">
        <v>17469</v>
      </c>
      <c r="P10" s="13">
        <v>8792</v>
      </c>
      <c r="Q10" s="13">
        <v>23220</v>
      </c>
      <c r="R10" s="13">
        <v>183405</v>
      </c>
      <c r="S10" s="13">
        <v>166077</v>
      </c>
      <c r="T10" s="13">
        <v>278322</v>
      </c>
      <c r="U10" s="13">
        <v>249870</v>
      </c>
      <c r="V10" s="13">
        <v>53326</v>
      </c>
      <c r="W10" s="13">
        <v>869</v>
      </c>
      <c r="X10" s="13">
        <v>455936</v>
      </c>
      <c r="Y10" s="13">
        <v>391023</v>
      </c>
      <c r="Z10" s="13">
        <v>296525</v>
      </c>
      <c r="AA10" s="13">
        <v>14875</v>
      </c>
    </row>
    <row r="11" spans="1:29" ht="15.75" x14ac:dyDescent="0.25">
      <c r="A11" s="12">
        <v>43770</v>
      </c>
      <c r="B11" s="13">
        <v>2191242</v>
      </c>
      <c r="C11" s="13">
        <v>34258</v>
      </c>
      <c r="D11" s="13">
        <v>26832</v>
      </c>
      <c r="E11" s="13">
        <v>468285</v>
      </c>
      <c r="F11" s="13">
        <v>100412</v>
      </c>
      <c r="G11" s="13">
        <v>27792</v>
      </c>
      <c r="H11" s="13">
        <v>10491</v>
      </c>
      <c r="I11" s="13">
        <v>36255</v>
      </c>
      <c r="J11" s="13">
        <v>8713</v>
      </c>
      <c r="K11" s="13">
        <v>78911</v>
      </c>
      <c r="L11" s="13">
        <v>49117</v>
      </c>
      <c r="M11" s="13">
        <v>23702</v>
      </c>
      <c r="N11" s="13">
        <v>259</v>
      </c>
      <c r="O11" s="13">
        <v>17719</v>
      </c>
      <c r="P11" s="13">
        <v>8787</v>
      </c>
      <c r="Q11" s="13">
        <v>23254</v>
      </c>
      <c r="R11" s="13">
        <v>182091</v>
      </c>
      <c r="S11" s="13">
        <v>164773</v>
      </c>
      <c r="T11" s="13">
        <v>276283</v>
      </c>
      <c r="U11" s="13">
        <v>248505</v>
      </c>
      <c r="V11" s="13">
        <v>54208</v>
      </c>
      <c r="W11" s="13">
        <v>845</v>
      </c>
      <c r="X11" s="13">
        <v>458002</v>
      </c>
      <c r="Y11" s="13">
        <v>388901</v>
      </c>
      <c r="Z11" s="13">
        <v>291142</v>
      </c>
      <c r="AA11" s="13">
        <v>14819</v>
      </c>
    </row>
    <row r="12" spans="1:29" ht="15.75" x14ac:dyDescent="0.25">
      <c r="A12" s="12">
        <v>43800</v>
      </c>
      <c r="B12" s="13">
        <v>2126786</v>
      </c>
      <c r="C12" s="13">
        <v>35379</v>
      </c>
      <c r="D12" s="13">
        <v>28238</v>
      </c>
      <c r="E12" s="13">
        <v>468289</v>
      </c>
      <c r="F12" s="13">
        <v>100246</v>
      </c>
      <c r="G12" s="13">
        <v>27802</v>
      </c>
      <c r="H12" s="13">
        <v>10495</v>
      </c>
      <c r="I12" s="13">
        <v>37035</v>
      </c>
      <c r="J12" s="13">
        <v>8628</v>
      </c>
      <c r="K12" s="13">
        <v>78912</v>
      </c>
      <c r="L12" s="13">
        <v>48866</v>
      </c>
      <c r="M12" s="13">
        <v>23984</v>
      </c>
      <c r="N12" s="13">
        <v>266</v>
      </c>
      <c r="O12" s="13">
        <v>17870</v>
      </c>
      <c r="P12" s="13">
        <v>8805</v>
      </c>
      <c r="Q12" s="13">
        <v>21150</v>
      </c>
      <c r="R12" s="13">
        <v>180772</v>
      </c>
      <c r="S12" s="13">
        <v>163454</v>
      </c>
      <c r="T12" s="13">
        <v>272114</v>
      </c>
      <c r="U12" s="13">
        <v>247098</v>
      </c>
      <c r="V12" s="13">
        <v>51880</v>
      </c>
      <c r="W12" s="13">
        <v>845</v>
      </c>
      <c r="X12" s="13">
        <v>432770</v>
      </c>
      <c r="Y12" s="13">
        <v>382099</v>
      </c>
      <c r="Z12" s="13">
        <v>267332</v>
      </c>
      <c r="AA12" s="13">
        <v>15001</v>
      </c>
    </row>
    <row r="13" spans="1:29" ht="15.75" x14ac:dyDescent="0.25">
      <c r="A13" s="12">
        <v>43831</v>
      </c>
      <c r="B13" s="13">
        <v>2084839</v>
      </c>
      <c r="C13" s="13">
        <v>36393</v>
      </c>
      <c r="D13" s="13">
        <v>29406</v>
      </c>
      <c r="E13" s="13">
        <v>452706</v>
      </c>
      <c r="F13" s="13">
        <v>101262</v>
      </c>
      <c r="G13" s="13">
        <v>27848</v>
      </c>
      <c r="H13" s="13">
        <v>9987</v>
      </c>
      <c r="I13" s="13">
        <v>31676</v>
      </c>
      <c r="J13" s="13">
        <v>8596</v>
      </c>
      <c r="K13" s="13">
        <v>71078</v>
      </c>
      <c r="L13" s="13">
        <v>48116</v>
      </c>
      <c r="M13" s="13">
        <v>25097</v>
      </c>
      <c r="N13" s="13">
        <v>240</v>
      </c>
      <c r="O13" s="13">
        <v>19080</v>
      </c>
      <c r="P13" s="13">
        <v>8875</v>
      </c>
      <c r="Q13" s="13">
        <v>20595</v>
      </c>
      <c r="R13" s="13">
        <v>176261</v>
      </c>
      <c r="S13" s="13">
        <v>159067</v>
      </c>
      <c r="T13" s="13">
        <v>270089</v>
      </c>
      <c r="U13" s="13">
        <v>243484</v>
      </c>
      <c r="V13" s="13">
        <v>53056</v>
      </c>
      <c r="W13" s="13">
        <v>845</v>
      </c>
      <c r="X13" s="13">
        <v>416722</v>
      </c>
      <c r="Y13" s="13">
        <v>379320</v>
      </c>
      <c r="Z13" s="13">
        <v>265356</v>
      </c>
      <c r="AA13" s="13">
        <v>14340</v>
      </c>
    </row>
    <row r="14" spans="1:29" ht="15.75" x14ac:dyDescent="0.25">
      <c r="A14" s="12">
        <v>43862</v>
      </c>
      <c r="B14" s="13">
        <v>2094066</v>
      </c>
      <c r="C14" s="13">
        <v>39433</v>
      </c>
      <c r="D14" s="13">
        <v>32369</v>
      </c>
      <c r="E14" s="13">
        <v>435003</v>
      </c>
      <c r="F14" s="13">
        <v>99276</v>
      </c>
      <c r="G14" s="13">
        <v>15921</v>
      </c>
      <c r="H14" s="13">
        <v>9844</v>
      </c>
      <c r="I14" s="13">
        <v>31681</v>
      </c>
      <c r="J14" s="13">
        <v>9186</v>
      </c>
      <c r="K14" s="13">
        <v>71248</v>
      </c>
      <c r="L14" s="13">
        <v>48502</v>
      </c>
      <c r="M14" s="13">
        <v>18801</v>
      </c>
      <c r="N14" s="13">
        <v>240</v>
      </c>
      <c r="O14" s="13">
        <v>19526</v>
      </c>
      <c r="P14" s="13">
        <v>8382</v>
      </c>
      <c r="Q14" s="13">
        <v>20774</v>
      </c>
      <c r="R14" s="13">
        <v>179438</v>
      </c>
      <c r="S14" s="13">
        <v>156472</v>
      </c>
      <c r="T14" s="13">
        <v>274383</v>
      </c>
      <c r="U14" s="13">
        <v>242414</v>
      </c>
      <c r="V14" s="13">
        <v>48942</v>
      </c>
      <c r="W14" s="13">
        <v>845</v>
      </c>
      <c r="X14" s="13">
        <v>423970</v>
      </c>
      <c r="Y14" s="13">
        <v>397936</v>
      </c>
      <c r="Z14" s="13">
        <v>259904</v>
      </c>
      <c r="AA14" s="13">
        <v>14285</v>
      </c>
    </row>
    <row r="15" spans="1:29" ht="15.75" x14ac:dyDescent="0.25">
      <c r="A15" s="12">
        <v>43891</v>
      </c>
      <c r="B15" s="13">
        <v>2092554</v>
      </c>
      <c r="C15" s="13">
        <v>38806</v>
      </c>
      <c r="D15" s="13">
        <v>32157</v>
      </c>
      <c r="E15" s="13">
        <v>437968</v>
      </c>
      <c r="F15" s="13">
        <v>99599</v>
      </c>
      <c r="G15" s="13">
        <v>17179</v>
      </c>
      <c r="H15" s="13">
        <v>10196</v>
      </c>
      <c r="I15" s="13">
        <v>31690</v>
      </c>
      <c r="J15" s="13">
        <v>10377</v>
      </c>
      <c r="K15" s="13">
        <v>71334</v>
      </c>
      <c r="L15" s="13">
        <v>47323</v>
      </c>
      <c r="M15" s="13">
        <v>18878</v>
      </c>
      <c r="N15" s="13">
        <v>240</v>
      </c>
      <c r="O15" s="13">
        <v>19854</v>
      </c>
      <c r="P15" s="13">
        <v>8380</v>
      </c>
      <c r="Q15" s="13">
        <v>21188</v>
      </c>
      <c r="R15" s="13">
        <v>180186</v>
      </c>
      <c r="S15" s="13">
        <v>157222</v>
      </c>
      <c r="T15" s="13">
        <v>266538</v>
      </c>
      <c r="U15" s="13">
        <v>234657</v>
      </c>
      <c r="V15" s="13">
        <v>49434</v>
      </c>
      <c r="W15" s="13">
        <v>845</v>
      </c>
      <c r="X15" s="13">
        <v>422352</v>
      </c>
      <c r="Y15" s="13">
        <v>399574</v>
      </c>
      <c r="Z15" s="13">
        <v>261654</v>
      </c>
      <c r="AA15" s="13">
        <v>14854</v>
      </c>
    </row>
    <row r="16" spans="1:29" ht="15.75" x14ac:dyDescent="0.25">
      <c r="A16" s="12">
        <v>43922</v>
      </c>
      <c r="B16" s="13">
        <v>2120195</v>
      </c>
      <c r="C16" s="13">
        <v>53204</v>
      </c>
      <c r="D16" s="13">
        <v>46763</v>
      </c>
      <c r="E16" s="13">
        <v>440554</v>
      </c>
      <c r="F16" s="13">
        <v>99473</v>
      </c>
      <c r="G16" s="13">
        <v>17418</v>
      </c>
      <c r="H16" s="13">
        <v>10109</v>
      </c>
      <c r="I16" s="13">
        <v>31700</v>
      </c>
      <c r="J16" s="13">
        <v>10340</v>
      </c>
      <c r="K16" s="13">
        <v>71572</v>
      </c>
      <c r="L16" s="13">
        <v>45697</v>
      </c>
      <c r="M16" s="13">
        <v>19862</v>
      </c>
      <c r="N16" s="13">
        <v>1265</v>
      </c>
      <c r="O16" s="13">
        <v>19773</v>
      </c>
      <c r="P16" s="13">
        <v>8380</v>
      </c>
      <c r="Q16" s="13">
        <v>21349</v>
      </c>
      <c r="R16" s="13">
        <v>188827</v>
      </c>
      <c r="S16" s="13">
        <v>165866</v>
      </c>
      <c r="T16" s="13">
        <v>264364</v>
      </c>
      <c r="U16" s="13">
        <v>232133</v>
      </c>
      <c r="V16" s="13">
        <v>49552</v>
      </c>
      <c r="W16" s="13">
        <v>845</v>
      </c>
      <c r="X16" s="13">
        <v>420072</v>
      </c>
      <c r="Y16" s="13">
        <v>402302</v>
      </c>
      <c r="Z16" s="13">
        <v>263466</v>
      </c>
      <c r="AA16" s="13">
        <v>16505</v>
      </c>
    </row>
    <row r="17" spans="1:27" ht="15.75" x14ac:dyDescent="0.25">
      <c r="A17" s="12">
        <v>43952</v>
      </c>
      <c r="B17" s="13">
        <v>2086226</v>
      </c>
      <c r="C17" s="13">
        <v>37597</v>
      </c>
      <c r="D17" s="13">
        <v>31337</v>
      </c>
      <c r="E17" s="13">
        <v>449692</v>
      </c>
      <c r="F17" s="13">
        <v>98693</v>
      </c>
      <c r="G17" s="13">
        <v>17139</v>
      </c>
      <c r="H17" s="13">
        <v>10134</v>
      </c>
      <c r="I17" s="13">
        <v>37980</v>
      </c>
      <c r="J17" s="13">
        <v>10176</v>
      </c>
      <c r="K17" s="13">
        <v>76500</v>
      </c>
      <c r="L17" s="13">
        <v>45593</v>
      </c>
      <c r="M17" s="13">
        <v>21299</v>
      </c>
      <c r="N17" s="13">
        <v>2502</v>
      </c>
      <c r="O17" s="13">
        <v>20009</v>
      </c>
      <c r="P17" s="13">
        <v>8379</v>
      </c>
      <c r="Q17" s="13">
        <v>20650</v>
      </c>
      <c r="R17" s="13">
        <v>163071</v>
      </c>
      <c r="S17" s="13">
        <v>140112</v>
      </c>
      <c r="T17" s="13">
        <v>265351</v>
      </c>
      <c r="U17" s="13">
        <v>232556</v>
      </c>
      <c r="V17" s="13">
        <v>48818</v>
      </c>
      <c r="W17" s="13">
        <v>848</v>
      </c>
      <c r="X17" s="13">
        <v>417374</v>
      </c>
      <c r="Y17" s="13">
        <v>402683</v>
      </c>
      <c r="Z17" s="13">
        <v>264546</v>
      </c>
      <c r="AA17" s="13">
        <v>16444</v>
      </c>
    </row>
    <row r="18" spans="1:27" ht="15.75" x14ac:dyDescent="0.25">
      <c r="A18" s="12">
        <v>43983</v>
      </c>
      <c r="B18" s="13">
        <v>2090855</v>
      </c>
      <c r="C18" s="13">
        <v>36145</v>
      </c>
      <c r="D18" s="13">
        <v>29907</v>
      </c>
      <c r="E18" s="13">
        <v>457639</v>
      </c>
      <c r="F18" s="13">
        <v>100020</v>
      </c>
      <c r="G18" s="13">
        <v>16756</v>
      </c>
      <c r="H18" s="13">
        <v>10225</v>
      </c>
      <c r="I18" s="13">
        <v>38196</v>
      </c>
      <c r="J18" s="13">
        <v>9018</v>
      </c>
      <c r="K18" s="13">
        <v>76259</v>
      </c>
      <c r="L18" s="13">
        <v>47815</v>
      </c>
      <c r="M18" s="13">
        <v>20758</v>
      </c>
      <c r="N18" s="13">
        <v>2502</v>
      </c>
      <c r="O18" s="13">
        <v>23988</v>
      </c>
      <c r="P18" s="13">
        <v>7604</v>
      </c>
      <c r="Q18" s="13">
        <v>20686</v>
      </c>
      <c r="R18" s="13">
        <v>156671</v>
      </c>
      <c r="S18" s="13">
        <v>133702</v>
      </c>
      <c r="T18" s="13">
        <v>265858</v>
      </c>
      <c r="U18" s="13">
        <v>232594</v>
      </c>
      <c r="V18" s="13">
        <v>50482</v>
      </c>
      <c r="W18" s="13">
        <v>846</v>
      </c>
      <c r="X18" s="13">
        <v>420661</v>
      </c>
      <c r="Y18" s="13">
        <v>402203</v>
      </c>
      <c r="Z18" s="13">
        <v>264571</v>
      </c>
      <c r="AA18" s="13">
        <v>15938</v>
      </c>
    </row>
    <row r="19" spans="1:27" ht="15.75" x14ac:dyDescent="0.25">
      <c r="A19" s="12">
        <v>44013</v>
      </c>
      <c r="B19" s="13">
        <v>2073145</v>
      </c>
      <c r="C19" s="13">
        <v>33713</v>
      </c>
      <c r="D19" s="13">
        <v>27657</v>
      </c>
      <c r="E19" s="13">
        <v>455750</v>
      </c>
      <c r="F19" s="13">
        <v>97008</v>
      </c>
      <c r="G19" s="13">
        <v>16939</v>
      </c>
      <c r="H19" s="13">
        <v>10173</v>
      </c>
      <c r="I19" s="13">
        <v>38223</v>
      </c>
      <c r="J19" s="13">
        <v>9107</v>
      </c>
      <c r="K19" s="13">
        <v>71170</v>
      </c>
      <c r="L19" s="13">
        <v>44916</v>
      </c>
      <c r="M19" s="13">
        <v>20869</v>
      </c>
      <c r="N19" s="13">
        <v>2495</v>
      </c>
      <c r="O19" s="13">
        <v>29242</v>
      </c>
      <c r="P19" s="13">
        <v>7584</v>
      </c>
      <c r="Q19" s="13">
        <v>20636</v>
      </c>
      <c r="R19" s="13">
        <v>154223</v>
      </c>
      <c r="S19" s="13">
        <v>131249</v>
      </c>
      <c r="T19" s="13">
        <v>262303</v>
      </c>
      <c r="U19" s="13">
        <v>229899</v>
      </c>
      <c r="V19" s="13">
        <v>50391</v>
      </c>
      <c r="W19" s="13">
        <v>3265</v>
      </c>
      <c r="X19" s="13">
        <v>415198</v>
      </c>
      <c r="Y19" s="13">
        <v>403232</v>
      </c>
      <c r="Z19" s="13">
        <v>262603</v>
      </c>
      <c r="AA19" s="13">
        <v>15095</v>
      </c>
    </row>
    <row r="20" spans="1:27" ht="15.75" x14ac:dyDescent="0.25">
      <c r="A20" s="12">
        <v>44044</v>
      </c>
      <c r="B20" s="13">
        <v>2156163</v>
      </c>
      <c r="C20" s="13">
        <v>33375</v>
      </c>
      <c r="D20" s="13">
        <v>27327</v>
      </c>
      <c r="E20" s="13">
        <v>517513</v>
      </c>
      <c r="F20" s="13">
        <v>95962</v>
      </c>
      <c r="G20" s="13">
        <v>16994</v>
      </c>
      <c r="H20" s="13">
        <v>10184</v>
      </c>
      <c r="I20" s="13">
        <v>41375</v>
      </c>
      <c r="J20" s="13">
        <v>9104</v>
      </c>
      <c r="K20" s="13">
        <v>131096</v>
      </c>
      <c r="L20" s="13">
        <v>44389</v>
      </c>
      <c r="M20" s="13">
        <v>20896</v>
      </c>
      <c r="N20" s="13">
        <v>2495</v>
      </c>
      <c r="O20" s="13">
        <v>28810</v>
      </c>
      <c r="P20" s="13">
        <v>7584</v>
      </c>
      <c r="Q20" s="13">
        <v>20513</v>
      </c>
      <c r="R20" s="13">
        <v>168483</v>
      </c>
      <c r="S20" s="13">
        <v>138368</v>
      </c>
      <c r="T20" s="13">
        <v>269620</v>
      </c>
      <c r="U20" s="13">
        <v>237533</v>
      </c>
      <c r="V20" s="13">
        <v>50048</v>
      </c>
      <c r="W20" s="13">
        <v>3236</v>
      </c>
      <c r="X20" s="13">
        <v>414201</v>
      </c>
      <c r="Y20" s="13">
        <v>401883</v>
      </c>
      <c r="Z20" s="13">
        <v>265527</v>
      </c>
      <c r="AA20" s="13">
        <v>15000</v>
      </c>
    </row>
    <row r="21" spans="1:27" ht="15.75" x14ac:dyDescent="0.25">
      <c r="A21" s="12">
        <v>44075</v>
      </c>
      <c r="B21" s="13">
        <v>2141533</v>
      </c>
      <c r="C21" s="13">
        <v>33339</v>
      </c>
      <c r="D21" s="13">
        <v>27271</v>
      </c>
      <c r="E21" s="13">
        <v>510632</v>
      </c>
      <c r="F21" s="13">
        <v>94984</v>
      </c>
      <c r="G21" s="13">
        <v>18218</v>
      </c>
      <c r="H21" s="13">
        <v>10426</v>
      </c>
      <c r="I21" s="13">
        <v>36406</v>
      </c>
      <c r="J21" s="13">
        <v>9107</v>
      </c>
      <c r="K21" s="13">
        <v>130808</v>
      </c>
      <c r="L21" s="13">
        <v>44065</v>
      </c>
      <c r="M21" s="13">
        <v>21030</v>
      </c>
      <c r="N21" s="13">
        <v>2495</v>
      </c>
      <c r="O21" s="13">
        <v>26532</v>
      </c>
      <c r="P21" s="13">
        <v>7584</v>
      </c>
      <c r="Q21" s="13">
        <v>20566</v>
      </c>
      <c r="R21" s="13">
        <v>168724</v>
      </c>
      <c r="S21" s="13">
        <v>138621</v>
      </c>
      <c r="T21" s="13">
        <v>265034</v>
      </c>
      <c r="U21" s="13">
        <v>234887</v>
      </c>
      <c r="V21" s="13">
        <v>50340</v>
      </c>
      <c r="W21" s="13">
        <v>3215</v>
      </c>
      <c r="X21" s="13">
        <v>409999</v>
      </c>
      <c r="Y21" s="13">
        <v>405648</v>
      </c>
      <c r="Z21" s="13">
        <v>262080</v>
      </c>
      <c r="AA21" s="13">
        <v>15172</v>
      </c>
    </row>
    <row r="22" spans="1:27" ht="15.75" x14ac:dyDescent="0.25">
      <c r="A22" s="12">
        <v>44105</v>
      </c>
      <c r="B22" s="13">
        <v>2125488</v>
      </c>
      <c r="C22" s="13">
        <v>36273</v>
      </c>
      <c r="D22" s="13">
        <v>30062</v>
      </c>
      <c r="E22" s="13">
        <v>502165</v>
      </c>
      <c r="F22" s="13">
        <v>92721</v>
      </c>
      <c r="G22" s="13">
        <v>18340</v>
      </c>
      <c r="H22" s="13">
        <v>10370</v>
      </c>
      <c r="I22" s="13">
        <v>36434</v>
      </c>
      <c r="J22" s="13">
        <v>9026</v>
      </c>
      <c r="K22" s="13">
        <v>129958</v>
      </c>
      <c r="L22" s="13">
        <v>43891</v>
      </c>
      <c r="M22" s="13">
        <v>20870</v>
      </c>
      <c r="N22" s="13">
        <v>2489</v>
      </c>
      <c r="O22" s="13">
        <v>19944</v>
      </c>
      <c r="P22" s="13">
        <v>7581</v>
      </c>
      <c r="Q22" s="13">
        <v>20430</v>
      </c>
      <c r="R22" s="13">
        <v>158518</v>
      </c>
      <c r="S22" s="13">
        <v>128423</v>
      </c>
      <c r="T22" s="13">
        <v>263790</v>
      </c>
      <c r="U22" s="13">
        <v>233702</v>
      </c>
      <c r="V22" s="13">
        <v>49574</v>
      </c>
      <c r="W22" s="13">
        <v>3238</v>
      </c>
      <c r="X22" s="13">
        <v>408205</v>
      </c>
      <c r="Y22" s="13">
        <v>410373</v>
      </c>
      <c r="Z22" s="13">
        <v>261353</v>
      </c>
      <c r="AA22" s="13">
        <v>14808</v>
      </c>
    </row>
    <row r="23" spans="1:27" ht="15.75" x14ac:dyDescent="0.25">
      <c r="A23" s="12">
        <v>44136</v>
      </c>
      <c r="B23" s="13">
        <v>2124213</v>
      </c>
      <c r="C23" s="13">
        <v>37232</v>
      </c>
      <c r="D23" s="13">
        <v>31077</v>
      </c>
      <c r="E23" s="13">
        <v>505922</v>
      </c>
      <c r="F23" s="13">
        <v>92527</v>
      </c>
      <c r="G23" s="13">
        <v>24345</v>
      </c>
      <c r="H23" s="13">
        <v>10360</v>
      </c>
      <c r="I23" s="13">
        <v>36409</v>
      </c>
      <c r="J23" s="13">
        <v>9030</v>
      </c>
      <c r="K23" s="13">
        <v>126118</v>
      </c>
      <c r="L23" s="13">
        <v>45370</v>
      </c>
      <c r="M23" s="13">
        <v>21753</v>
      </c>
      <c r="N23" s="13">
        <v>2489</v>
      </c>
      <c r="O23" s="13">
        <v>20046</v>
      </c>
      <c r="P23" s="13">
        <v>7574</v>
      </c>
      <c r="Q23" s="13">
        <v>20437</v>
      </c>
      <c r="R23" s="13">
        <v>157821</v>
      </c>
      <c r="S23" s="13">
        <v>127606</v>
      </c>
      <c r="T23" s="13">
        <v>264733</v>
      </c>
      <c r="U23" s="13">
        <v>234291</v>
      </c>
      <c r="V23" s="13">
        <v>43107</v>
      </c>
      <c r="W23" s="13">
        <v>3231</v>
      </c>
      <c r="X23" s="13">
        <v>406581</v>
      </c>
      <c r="Y23" s="13">
        <v>418614</v>
      </c>
      <c r="Z23" s="13">
        <v>254686</v>
      </c>
      <c r="AA23" s="13">
        <v>15080</v>
      </c>
    </row>
    <row r="24" spans="1:27" ht="15.75" x14ac:dyDescent="0.25">
      <c r="A24" s="12">
        <v>44166</v>
      </c>
      <c r="B24" s="13">
        <v>2124396</v>
      </c>
      <c r="C24" s="13">
        <v>57205</v>
      </c>
      <c r="D24" s="13">
        <v>51018</v>
      </c>
      <c r="E24" s="13">
        <v>506121</v>
      </c>
      <c r="F24" s="13">
        <v>91606</v>
      </c>
      <c r="G24" s="13">
        <v>21879</v>
      </c>
      <c r="H24" s="13">
        <v>11158</v>
      </c>
      <c r="I24" s="13">
        <v>35951</v>
      </c>
      <c r="J24" s="13">
        <v>9070</v>
      </c>
      <c r="K24" s="13">
        <v>130578</v>
      </c>
      <c r="L24" s="13">
        <v>45366</v>
      </c>
      <c r="M24" s="13">
        <v>21500</v>
      </c>
      <c r="N24" s="13">
        <v>2489</v>
      </c>
      <c r="O24" s="13">
        <v>19786</v>
      </c>
      <c r="P24" s="13">
        <v>7211</v>
      </c>
      <c r="Q24" s="13">
        <v>20431</v>
      </c>
      <c r="R24" s="13">
        <v>155647</v>
      </c>
      <c r="S24" s="13">
        <v>125272</v>
      </c>
      <c r="T24" s="13">
        <v>263982</v>
      </c>
      <c r="U24" s="13">
        <v>232412</v>
      </c>
      <c r="V24" s="13">
        <v>43040</v>
      </c>
      <c r="W24" s="13">
        <v>3168</v>
      </c>
      <c r="X24" s="13">
        <v>405106</v>
      </c>
      <c r="Y24" s="13">
        <v>424002</v>
      </c>
      <c r="Z24" s="13">
        <v>233391</v>
      </c>
      <c r="AA24" s="13">
        <v>15471</v>
      </c>
    </row>
    <row r="25" spans="1:27" ht="15.75" x14ac:dyDescent="0.25">
      <c r="A25" s="12">
        <v>44197</v>
      </c>
      <c r="B25" s="13">
        <v>2156621</v>
      </c>
      <c r="C25" s="13">
        <v>90780</v>
      </c>
      <c r="D25" s="13">
        <v>84669</v>
      </c>
      <c r="E25" s="13">
        <v>517369</v>
      </c>
      <c r="F25" s="13">
        <v>88919</v>
      </c>
      <c r="G25" s="13">
        <v>21888</v>
      </c>
      <c r="H25" s="13">
        <v>10109</v>
      </c>
      <c r="I25" s="13">
        <v>36339</v>
      </c>
      <c r="J25" s="13">
        <v>8934</v>
      </c>
      <c r="K25" s="13">
        <v>152774</v>
      </c>
      <c r="L25" s="13">
        <v>45155</v>
      </c>
      <c r="M25" s="13">
        <v>20840</v>
      </c>
      <c r="N25" s="13">
        <v>2489</v>
      </c>
      <c r="O25" s="13">
        <v>19717</v>
      </c>
      <c r="P25" s="13">
        <v>7210</v>
      </c>
      <c r="Q25" s="13">
        <v>20363</v>
      </c>
      <c r="R25" s="13">
        <v>147781</v>
      </c>
      <c r="S25" s="13">
        <v>117673</v>
      </c>
      <c r="T25" s="13">
        <v>260349</v>
      </c>
      <c r="U25" s="13">
        <v>229857</v>
      </c>
      <c r="V25" s="13">
        <v>40497</v>
      </c>
      <c r="W25" s="13">
        <v>1926</v>
      </c>
      <c r="X25" s="13">
        <v>395329</v>
      </c>
      <c r="Y25" s="13">
        <v>436788</v>
      </c>
      <c r="Z25" s="13">
        <v>232154</v>
      </c>
      <c r="AA25" s="13">
        <v>15212</v>
      </c>
    </row>
    <row r="26" spans="1:27" ht="15.75" x14ac:dyDescent="0.25">
      <c r="A26" s="12">
        <v>44228</v>
      </c>
      <c r="B26" s="13">
        <v>2160344</v>
      </c>
      <c r="C26" s="13">
        <v>90651</v>
      </c>
      <c r="D26" s="13">
        <v>84567</v>
      </c>
      <c r="E26" s="13">
        <v>516039</v>
      </c>
      <c r="F26" s="13">
        <v>89410</v>
      </c>
      <c r="G26" s="13">
        <v>21873</v>
      </c>
      <c r="H26" s="13">
        <v>10132</v>
      </c>
      <c r="I26" s="13">
        <v>36233</v>
      </c>
      <c r="J26" s="13">
        <v>8936</v>
      </c>
      <c r="K26" s="13">
        <v>153735</v>
      </c>
      <c r="L26" s="13">
        <v>43137</v>
      </c>
      <c r="M26" s="13">
        <v>20577</v>
      </c>
      <c r="N26" s="13">
        <v>2462</v>
      </c>
      <c r="O26" s="13">
        <v>19779</v>
      </c>
      <c r="P26" s="13">
        <v>7220</v>
      </c>
      <c r="Q26" s="13">
        <v>20377</v>
      </c>
      <c r="R26" s="13">
        <v>148964</v>
      </c>
      <c r="S26" s="13">
        <v>118876</v>
      </c>
      <c r="T26" s="13">
        <v>259842</v>
      </c>
      <c r="U26" s="13">
        <v>229286</v>
      </c>
      <c r="V26" s="13">
        <v>40654</v>
      </c>
      <c r="W26" s="13">
        <v>1916</v>
      </c>
      <c r="X26" s="13">
        <v>395057</v>
      </c>
      <c r="Y26" s="13">
        <v>441456</v>
      </c>
      <c r="Z26" s="13">
        <v>232004</v>
      </c>
      <c r="AA26" s="13">
        <v>15298</v>
      </c>
    </row>
    <row r="27" spans="1:27" ht="15.75" x14ac:dyDescent="0.25">
      <c r="A27" s="12">
        <v>44256</v>
      </c>
      <c r="B27" s="13">
        <v>2113886</v>
      </c>
      <c r="C27" s="13">
        <v>51806</v>
      </c>
      <c r="D27" s="13">
        <v>45967</v>
      </c>
      <c r="E27" s="13">
        <v>516626</v>
      </c>
      <c r="F27" s="13">
        <v>90011</v>
      </c>
      <c r="G27" s="13">
        <v>21059</v>
      </c>
      <c r="H27" s="13">
        <v>9982</v>
      </c>
      <c r="I27" s="13">
        <v>35944</v>
      </c>
      <c r="J27" s="13">
        <v>7995</v>
      </c>
      <c r="K27" s="13">
        <v>153388</v>
      </c>
      <c r="L27" s="13">
        <v>43134</v>
      </c>
      <c r="M27" s="13">
        <v>20405</v>
      </c>
      <c r="N27" s="13">
        <v>2462</v>
      </c>
      <c r="O27" s="13">
        <v>20175</v>
      </c>
      <c r="P27" s="13">
        <v>7604</v>
      </c>
      <c r="Q27" s="13">
        <v>19957</v>
      </c>
      <c r="R27" s="13">
        <v>150890</v>
      </c>
      <c r="S27" s="13">
        <v>120809</v>
      </c>
      <c r="T27" s="13">
        <v>250452</v>
      </c>
      <c r="U27" s="13">
        <v>224069</v>
      </c>
      <c r="V27" s="13">
        <v>39405</v>
      </c>
      <c r="W27" s="13">
        <v>1925</v>
      </c>
      <c r="X27" s="13">
        <v>392887</v>
      </c>
      <c r="Y27" s="13">
        <v>437507</v>
      </c>
      <c r="Z27" s="13">
        <v>238792</v>
      </c>
      <c r="AA27" s="13">
        <v>15564</v>
      </c>
    </row>
    <row r="28" spans="1:27" ht="15.75" x14ac:dyDescent="0.25">
      <c r="A28" s="12">
        <v>44287</v>
      </c>
      <c r="B28" s="13">
        <v>2106360</v>
      </c>
      <c r="C28" s="13">
        <v>53027</v>
      </c>
      <c r="D28" s="13">
        <v>47345</v>
      </c>
      <c r="E28" s="13">
        <v>510828</v>
      </c>
      <c r="F28" s="13">
        <v>91332</v>
      </c>
      <c r="G28" s="13">
        <v>21044</v>
      </c>
      <c r="H28" s="13">
        <v>5240</v>
      </c>
      <c r="I28" s="13">
        <v>35193</v>
      </c>
      <c r="J28" s="13">
        <v>7916</v>
      </c>
      <c r="K28" s="13">
        <v>152895</v>
      </c>
      <c r="L28" s="13">
        <v>43167</v>
      </c>
      <c r="M28" s="13">
        <v>20678</v>
      </c>
      <c r="N28" s="13">
        <v>3147</v>
      </c>
      <c r="O28" s="13">
        <v>21136</v>
      </c>
      <c r="P28" s="13">
        <v>7606</v>
      </c>
      <c r="Q28" s="13">
        <v>19941</v>
      </c>
      <c r="R28" s="13">
        <v>148619</v>
      </c>
      <c r="S28" s="13">
        <v>118535</v>
      </c>
      <c r="T28" s="13">
        <v>256064</v>
      </c>
      <c r="U28" s="13">
        <v>229493</v>
      </c>
      <c r="V28" s="13">
        <v>40186</v>
      </c>
      <c r="W28" s="13">
        <v>1900</v>
      </c>
      <c r="X28" s="13">
        <v>386050</v>
      </c>
      <c r="Y28" s="13">
        <v>435723</v>
      </c>
      <c r="Z28" s="13">
        <v>240714</v>
      </c>
      <c r="AA28" s="13">
        <v>15209</v>
      </c>
    </row>
    <row r="29" spans="1:27" ht="15.75" x14ac:dyDescent="0.25">
      <c r="A29" s="12">
        <v>44317</v>
      </c>
      <c r="B29" s="13">
        <v>2106848</v>
      </c>
      <c r="C29" s="13">
        <v>47954</v>
      </c>
      <c r="D29" s="13">
        <v>42658</v>
      </c>
      <c r="E29" s="13">
        <v>515788</v>
      </c>
      <c r="F29" s="13">
        <v>91405</v>
      </c>
      <c r="G29" s="13">
        <v>20994</v>
      </c>
      <c r="H29" s="13">
        <v>5207</v>
      </c>
      <c r="I29" s="13">
        <v>35184</v>
      </c>
      <c r="J29" s="13">
        <v>7954</v>
      </c>
      <c r="K29" s="13">
        <v>152888</v>
      </c>
      <c r="L29" s="13">
        <v>43177</v>
      </c>
      <c r="M29" s="13">
        <v>21645</v>
      </c>
      <c r="N29" s="13">
        <v>3173</v>
      </c>
      <c r="O29" s="13">
        <v>20310</v>
      </c>
      <c r="P29" s="13">
        <v>7602</v>
      </c>
      <c r="Q29" s="13">
        <v>19889</v>
      </c>
      <c r="R29" s="13">
        <v>141511</v>
      </c>
      <c r="S29" s="13">
        <v>111566</v>
      </c>
      <c r="T29" s="13">
        <v>250182</v>
      </c>
      <c r="U29" s="13">
        <v>228127</v>
      </c>
      <c r="V29" s="13">
        <v>40283</v>
      </c>
      <c r="W29" s="13">
        <v>1892</v>
      </c>
      <c r="X29" s="13">
        <v>402557</v>
      </c>
      <c r="Y29" s="13">
        <v>436176</v>
      </c>
      <c r="Z29" s="13">
        <v>237279</v>
      </c>
      <c r="AA29" s="13">
        <v>15229</v>
      </c>
    </row>
    <row r="30" spans="1:27" ht="15.75" x14ac:dyDescent="0.25">
      <c r="A30" s="12">
        <v>44348</v>
      </c>
      <c r="B30" s="13">
        <v>2185355</v>
      </c>
      <c r="C30" s="13">
        <v>47975</v>
      </c>
      <c r="D30" s="13">
        <v>42677</v>
      </c>
      <c r="E30" s="13">
        <v>530347</v>
      </c>
      <c r="F30" s="13">
        <v>92218</v>
      </c>
      <c r="G30" s="13">
        <v>37039</v>
      </c>
      <c r="H30" s="13">
        <v>5118</v>
      </c>
      <c r="I30" s="13">
        <v>35056</v>
      </c>
      <c r="J30" s="13">
        <v>6534</v>
      </c>
      <c r="K30" s="13">
        <v>152223</v>
      </c>
      <c r="L30" s="13">
        <v>43254</v>
      </c>
      <c r="M30" s="13">
        <v>21765</v>
      </c>
      <c r="N30" s="13">
        <v>3201</v>
      </c>
      <c r="O30" s="13">
        <v>20336</v>
      </c>
      <c r="P30" s="13">
        <v>7600</v>
      </c>
      <c r="Q30" s="13">
        <v>19884</v>
      </c>
      <c r="R30" s="13">
        <v>141096</v>
      </c>
      <c r="S30" s="13">
        <v>111198</v>
      </c>
      <c r="T30" s="13">
        <v>249118</v>
      </c>
      <c r="U30" s="13">
        <v>227293</v>
      </c>
      <c r="V30" s="13">
        <v>40495</v>
      </c>
      <c r="W30" s="13">
        <v>1879</v>
      </c>
      <c r="X30" s="13">
        <v>413150</v>
      </c>
      <c r="Y30" s="13">
        <v>434757</v>
      </c>
      <c r="Z30" s="13">
        <v>293202</v>
      </c>
      <c r="AA30" s="13">
        <v>15332</v>
      </c>
    </row>
    <row r="31" spans="1:27" ht="15.75" x14ac:dyDescent="0.25">
      <c r="A31" s="12">
        <v>44378</v>
      </c>
      <c r="B31" s="13">
        <v>2729296</v>
      </c>
      <c r="C31" s="13">
        <v>48050</v>
      </c>
      <c r="D31" s="13">
        <v>42740</v>
      </c>
      <c r="E31" s="13">
        <v>531778</v>
      </c>
      <c r="F31" s="13">
        <v>93173</v>
      </c>
      <c r="G31" s="13">
        <v>37011</v>
      </c>
      <c r="H31" s="13">
        <v>4948</v>
      </c>
      <c r="I31" s="13">
        <v>32672</v>
      </c>
      <c r="J31" s="13">
        <v>10122</v>
      </c>
      <c r="K31" s="13">
        <v>151962</v>
      </c>
      <c r="L31" s="13">
        <v>42988</v>
      </c>
      <c r="M31" s="13">
        <v>22157</v>
      </c>
      <c r="N31" s="13">
        <v>3599</v>
      </c>
      <c r="O31" s="13">
        <v>20291</v>
      </c>
      <c r="P31" s="13">
        <v>7573</v>
      </c>
      <c r="Q31" s="13">
        <v>20251</v>
      </c>
      <c r="R31" s="13">
        <v>140124</v>
      </c>
      <c r="S31" s="13">
        <v>109993</v>
      </c>
      <c r="T31" s="13">
        <v>246254</v>
      </c>
      <c r="U31" s="13">
        <v>224626</v>
      </c>
      <c r="V31" s="13">
        <v>42400</v>
      </c>
      <c r="W31" s="13">
        <v>2098</v>
      </c>
      <c r="X31" s="13">
        <v>408059</v>
      </c>
      <c r="Y31" s="13">
        <v>436415</v>
      </c>
      <c r="Z31" s="13">
        <v>840733</v>
      </c>
      <c r="AA31" s="13">
        <v>15234</v>
      </c>
    </row>
    <row r="32" spans="1:27" ht="15.75" x14ac:dyDescent="0.25">
      <c r="A32" s="12">
        <v>44409</v>
      </c>
      <c r="B32" s="13">
        <v>2652287</v>
      </c>
      <c r="C32" s="13">
        <v>48076</v>
      </c>
      <c r="D32" s="13">
        <v>42764</v>
      </c>
      <c r="E32" s="13">
        <v>446570</v>
      </c>
      <c r="F32" s="13">
        <v>94082</v>
      </c>
      <c r="G32" s="13">
        <v>37000</v>
      </c>
      <c r="H32" s="13">
        <v>4981</v>
      </c>
      <c r="I32" s="13">
        <v>32672</v>
      </c>
      <c r="J32" s="13">
        <v>10275</v>
      </c>
      <c r="K32" s="13">
        <v>65500</v>
      </c>
      <c r="L32" s="13">
        <v>42998</v>
      </c>
      <c r="M32" s="13">
        <v>22072</v>
      </c>
      <c r="N32" s="13">
        <v>3592</v>
      </c>
      <c r="O32" s="13">
        <v>20247</v>
      </c>
      <c r="P32" s="13">
        <v>7562</v>
      </c>
      <c r="Q32" s="13">
        <v>20261</v>
      </c>
      <c r="R32" s="13">
        <v>138809</v>
      </c>
      <c r="S32" s="13">
        <v>108931</v>
      </c>
      <c r="T32" s="13">
        <v>242619</v>
      </c>
      <c r="U32" s="13">
        <v>220598</v>
      </c>
      <c r="V32" s="13">
        <v>40528</v>
      </c>
      <c r="W32" s="13">
        <v>2051</v>
      </c>
      <c r="X32" s="13">
        <v>408851</v>
      </c>
      <c r="Y32" s="13">
        <v>444712</v>
      </c>
      <c r="Z32" s="13">
        <v>846291</v>
      </c>
      <c r="AA32" s="13">
        <v>15571</v>
      </c>
    </row>
    <row r="33" spans="1:27" ht="15.75" x14ac:dyDescent="0.25">
      <c r="A33" s="12">
        <v>44440</v>
      </c>
      <c r="B33" s="13">
        <v>2681390</v>
      </c>
      <c r="C33" s="13">
        <v>47753</v>
      </c>
      <c r="D33" s="13">
        <v>42752</v>
      </c>
      <c r="E33" s="13">
        <v>434586</v>
      </c>
      <c r="F33" s="13">
        <v>92222</v>
      </c>
      <c r="G33" s="13">
        <v>36979</v>
      </c>
      <c r="H33" s="13">
        <v>4851</v>
      </c>
      <c r="I33" s="13">
        <v>32696</v>
      </c>
      <c r="J33" s="13">
        <v>10241</v>
      </c>
      <c r="K33" s="13">
        <v>65520</v>
      </c>
      <c r="L33" s="13">
        <v>42664</v>
      </c>
      <c r="M33" s="13">
        <v>19497</v>
      </c>
      <c r="N33" s="13">
        <v>2615</v>
      </c>
      <c r="O33" s="13">
        <v>20264</v>
      </c>
      <c r="P33" s="13">
        <v>7559</v>
      </c>
      <c r="Q33" s="13">
        <v>20306</v>
      </c>
      <c r="R33" s="13">
        <v>135978</v>
      </c>
      <c r="S33" s="13">
        <v>106109</v>
      </c>
      <c r="T33" s="13">
        <v>242319</v>
      </c>
      <c r="U33" s="13">
        <v>220379</v>
      </c>
      <c r="V33" s="13">
        <v>40548</v>
      </c>
      <c r="W33" s="13">
        <v>1998</v>
      </c>
      <c r="X33" s="13">
        <v>423631</v>
      </c>
      <c r="Y33" s="13">
        <v>473966</v>
      </c>
      <c r="Z33" s="13">
        <v>846599</v>
      </c>
      <c r="AA33" s="13">
        <v>15703</v>
      </c>
    </row>
    <row r="34" spans="1:27" ht="15.75" x14ac:dyDescent="0.25">
      <c r="A34" s="12">
        <v>44470</v>
      </c>
      <c r="B34" s="13">
        <v>2662583</v>
      </c>
      <c r="C34" s="13">
        <v>47688</v>
      </c>
      <c r="D34" s="13">
        <v>42823</v>
      </c>
      <c r="E34" s="13">
        <v>432470</v>
      </c>
      <c r="F34" s="13">
        <v>90733</v>
      </c>
      <c r="G34" s="13">
        <v>37062</v>
      </c>
      <c r="H34" s="13">
        <v>4845</v>
      </c>
      <c r="I34" s="13">
        <v>32669</v>
      </c>
      <c r="J34" s="13">
        <v>10489</v>
      </c>
      <c r="K34" s="13">
        <v>65131</v>
      </c>
      <c r="L34" s="13">
        <v>42164</v>
      </c>
      <c r="M34" s="13">
        <v>19815</v>
      </c>
      <c r="N34" s="13">
        <v>2615</v>
      </c>
      <c r="O34" s="13">
        <v>20065</v>
      </c>
      <c r="P34" s="13">
        <v>7557</v>
      </c>
      <c r="Q34" s="13">
        <v>20364</v>
      </c>
      <c r="R34" s="13">
        <v>131875</v>
      </c>
      <c r="S34" s="13">
        <v>101781</v>
      </c>
      <c r="T34" s="13">
        <v>239395</v>
      </c>
      <c r="U34" s="13">
        <v>217765</v>
      </c>
      <c r="V34" s="13">
        <v>39959</v>
      </c>
      <c r="W34" s="13">
        <v>1965</v>
      </c>
      <c r="X34" s="13">
        <v>419706</v>
      </c>
      <c r="Y34" s="13">
        <v>470719</v>
      </c>
      <c r="Z34" s="13">
        <v>845065</v>
      </c>
      <c r="AA34" s="13">
        <v>15340</v>
      </c>
    </row>
    <row r="35" spans="1:27" ht="15.75" x14ac:dyDescent="0.25">
      <c r="A35" s="12">
        <v>44501</v>
      </c>
      <c r="B35" s="13">
        <v>2673412</v>
      </c>
      <c r="C35" s="13">
        <v>47649</v>
      </c>
      <c r="D35" s="13">
        <v>42839</v>
      </c>
      <c r="E35" s="13">
        <v>445252</v>
      </c>
      <c r="F35" s="13">
        <v>103549</v>
      </c>
      <c r="G35" s="13">
        <v>36964</v>
      </c>
      <c r="H35" s="13">
        <v>4814</v>
      </c>
      <c r="I35" s="13">
        <v>32657</v>
      </c>
      <c r="J35" s="13">
        <v>10422</v>
      </c>
      <c r="K35" s="13">
        <v>65497</v>
      </c>
      <c r="L35" s="13">
        <v>42314</v>
      </c>
      <c r="M35" s="13">
        <v>19756</v>
      </c>
      <c r="N35" s="13">
        <v>2609</v>
      </c>
      <c r="O35" s="13">
        <v>18937</v>
      </c>
      <c r="P35" s="13">
        <v>7447</v>
      </c>
      <c r="Q35" s="13">
        <v>20371</v>
      </c>
      <c r="R35" s="13">
        <v>134355</v>
      </c>
      <c r="S35" s="13">
        <v>104267</v>
      </c>
      <c r="T35" s="13">
        <v>237972</v>
      </c>
      <c r="U35" s="13">
        <v>216351</v>
      </c>
      <c r="V35" s="13">
        <v>39769</v>
      </c>
      <c r="W35" s="13">
        <v>1488</v>
      </c>
      <c r="X35" s="13">
        <v>417814</v>
      </c>
      <c r="Y35" s="13">
        <v>469208</v>
      </c>
      <c r="Z35" s="13">
        <v>845608</v>
      </c>
      <c r="AA35" s="13">
        <v>15415</v>
      </c>
    </row>
    <row r="36" spans="1:27" ht="15.75" x14ac:dyDescent="0.25">
      <c r="A36" s="12">
        <v>44531</v>
      </c>
      <c r="B36" s="13">
        <v>2803041</v>
      </c>
      <c r="C36" s="13">
        <v>47264</v>
      </c>
      <c r="D36" s="13">
        <v>42476</v>
      </c>
      <c r="E36" s="13">
        <v>437967</v>
      </c>
      <c r="F36" s="13">
        <v>99692</v>
      </c>
      <c r="G36" s="13">
        <v>36704</v>
      </c>
      <c r="H36" s="13">
        <v>4737</v>
      </c>
      <c r="I36" s="13">
        <v>32657</v>
      </c>
      <c r="J36" s="13">
        <v>10413</v>
      </c>
      <c r="K36" s="13">
        <v>65400</v>
      </c>
      <c r="L36" s="13">
        <v>39767</v>
      </c>
      <c r="M36" s="13">
        <v>19821</v>
      </c>
      <c r="N36" s="13">
        <v>2609</v>
      </c>
      <c r="O36" s="13">
        <v>18625</v>
      </c>
      <c r="P36" s="13">
        <v>7418</v>
      </c>
      <c r="Q36" s="13">
        <v>20204</v>
      </c>
      <c r="R36" s="13">
        <v>131992</v>
      </c>
      <c r="S36" s="13">
        <v>102158</v>
      </c>
      <c r="T36" s="13">
        <v>235171</v>
      </c>
      <c r="U36" s="13">
        <v>213490</v>
      </c>
      <c r="V36" s="13">
        <v>38966</v>
      </c>
      <c r="W36" s="13">
        <v>1316</v>
      </c>
      <c r="X36" s="13">
        <v>418826</v>
      </c>
      <c r="Y36" s="13">
        <v>469050</v>
      </c>
      <c r="Z36" s="13">
        <v>988379</v>
      </c>
      <c r="AA36" s="13">
        <v>15222</v>
      </c>
    </row>
    <row r="37" spans="1:27" ht="15.75" x14ac:dyDescent="0.25">
      <c r="A37" s="12">
        <v>44562</v>
      </c>
      <c r="B37" s="13">
        <v>2760585</v>
      </c>
      <c r="C37" s="13">
        <v>46578</v>
      </c>
      <c r="D37" s="13">
        <v>42025</v>
      </c>
      <c r="E37" s="13">
        <v>434058</v>
      </c>
      <c r="F37" s="13">
        <v>99365</v>
      </c>
      <c r="G37" s="13">
        <v>36647</v>
      </c>
      <c r="H37" s="13">
        <v>4600</v>
      </c>
      <c r="I37" s="13">
        <v>32653</v>
      </c>
      <c r="J37" s="13">
        <v>9837</v>
      </c>
      <c r="K37" s="13">
        <v>65747</v>
      </c>
      <c r="L37" s="13">
        <v>39558</v>
      </c>
      <c r="M37" s="13">
        <v>19641</v>
      </c>
      <c r="N37" s="13">
        <v>2609</v>
      </c>
      <c r="O37" s="13">
        <v>18586</v>
      </c>
      <c r="P37" s="13">
        <v>7396</v>
      </c>
      <c r="Q37" s="13">
        <v>19928</v>
      </c>
      <c r="R37" s="13">
        <v>126748</v>
      </c>
      <c r="S37" s="13">
        <v>96993</v>
      </c>
      <c r="T37" s="13">
        <v>232250</v>
      </c>
      <c r="U37" s="13">
        <v>211627</v>
      </c>
      <c r="V37" s="13">
        <v>38754</v>
      </c>
      <c r="W37" s="13">
        <v>1118</v>
      </c>
      <c r="X37" s="13">
        <v>417934</v>
      </c>
      <c r="Y37" s="13">
        <v>459135</v>
      </c>
      <c r="Z37" s="13">
        <v>970199</v>
      </c>
      <c r="AA37" s="13">
        <v>15001</v>
      </c>
    </row>
    <row r="38" spans="1:27" ht="15.75" x14ac:dyDescent="0.25">
      <c r="A38" s="12">
        <v>44593</v>
      </c>
      <c r="B38" s="13">
        <v>2742508</v>
      </c>
      <c r="C38" s="13">
        <v>44430</v>
      </c>
      <c r="D38" s="13">
        <v>39842</v>
      </c>
      <c r="E38" s="13">
        <v>433797</v>
      </c>
      <c r="F38" s="13">
        <v>100020</v>
      </c>
      <c r="G38" s="13">
        <v>36045</v>
      </c>
      <c r="H38" s="13">
        <v>4603</v>
      </c>
      <c r="I38" s="13">
        <v>32651</v>
      </c>
      <c r="J38" s="13">
        <v>9858</v>
      </c>
      <c r="K38" s="13">
        <v>65812</v>
      </c>
      <c r="L38" s="13">
        <v>39554</v>
      </c>
      <c r="M38" s="13">
        <v>21658</v>
      </c>
      <c r="N38" s="13">
        <v>2610</v>
      </c>
      <c r="O38" s="13">
        <v>17958</v>
      </c>
      <c r="P38" s="13">
        <v>7054</v>
      </c>
      <c r="Q38" s="13">
        <v>20802</v>
      </c>
      <c r="R38" s="13">
        <v>127639</v>
      </c>
      <c r="S38" s="13">
        <v>97884</v>
      </c>
      <c r="T38" s="13">
        <v>228829</v>
      </c>
      <c r="U38" s="13">
        <v>208004</v>
      </c>
      <c r="V38" s="13">
        <v>38927</v>
      </c>
      <c r="W38" s="13">
        <v>1117</v>
      </c>
      <c r="X38" s="13">
        <v>402337</v>
      </c>
      <c r="Y38" s="13">
        <v>473075</v>
      </c>
      <c r="Z38" s="13">
        <v>957407</v>
      </c>
      <c r="AA38" s="13">
        <v>15264</v>
      </c>
    </row>
    <row r="39" spans="1:27" ht="15.75" x14ac:dyDescent="0.25">
      <c r="A39" s="12">
        <v>44621</v>
      </c>
      <c r="B39" s="13">
        <v>2724519</v>
      </c>
      <c r="C39" s="13">
        <v>44412</v>
      </c>
      <c r="D39" s="13">
        <v>39687</v>
      </c>
      <c r="E39" s="13">
        <v>431550</v>
      </c>
      <c r="F39" s="13">
        <v>100019</v>
      </c>
      <c r="G39" s="13">
        <v>36033</v>
      </c>
      <c r="H39" s="13">
        <v>4654</v>
      </c>
      <c r="I39" s="13">
        <v>32650</v>
      </c>
      <c r="J39" s="13">
        <v>9758</v>
      </c>
      <c r="K39" s="13">
        <v>66054</v>
      </c>
      <c r="L39" s="13">
        <v>39074</v>
      </c>
      <c r="M39" s="13">
        <v>19696</v>
      </c>
      <c r="N39" s="13">
        <v>2609</v>
      </c>
      <c r="O39" s="13">
        <v>18150</v>
      </c>
      <c r="P39" s="13">
        <v>7054</v>
      </c>
      <c r="Q39" s="13">
        <v>19877</v>
      </c>
      <c r="R39" s="13">
        <v>129945</v>
      </c>
      <c r="S39" s="13">
        <v>100194</v>
      </c>
      <c r="T39" s="13">
        <v>228355</v>
      </c>
      <c r="U39" s="13">
        <v>207462</v>
      </c>
      <c r="V39" s="13">
        <v>38423</v>
      </c>
      <c r="W39" s="13">
        <v>1117</v>
      </c>
      <c r="X39" s="13">
        <v>383639</v>
      </c>
      <c r="Y39" s="13">
        <v>481782</v>
      </c>
      <c r="Z39" s="13">
        <v>950926</v>
      </c>
      <c r="AA39" s="13">
        <v>15612</v>
      </c>
    </row>
    <row r="40" spans="1:27" ht="15.75" x14ac:dyDescent="0.25">
      <c r="A40" s="12">
        <v>44652</v>
      </c>
      <c r="B40" s="13">
        <v>2916571</v>
      </c>
      <c r="C40" s="13">
        <v>44059</v>
      </c>
      <c r="D40" s="13">
        <v>39488</v>
      </c>
      <c r="E40" s="13">
        <v>433349</v>
      </c>
      <c r="F40" s="13">
        <v>101687</v>
      </c>
      <c r="G40" s="13">
        <v>35904</v>
      </c>
      <c r="H40" s="13">
        <v>4593</v>
      </c>
      <c r="I40" s="13">
        <v>32647</v>
      </c>
      <c r="J40" s="13">
        <v>10238</v>
      </c>
      <c r="K40" s="13">
        <v>66022</v>
      </c>
      <c r="L40" s="13">
        <v>39096</v>
      </c>
      <c r="M40" s="13">
        <v>19684</v>
      </c>
      <c r="N40" s="13">
        <v>2609</v>
      </c>
      <c r="O40" s="13">
        <v>18156</v>
      </c>
      <c r="P40" s="13">
        <v>7062</v>
      </c>
      <c r="Q40" s="13">
        <v>19754</v>
      </c>
      <c r="R40" s="13">
        <v>128804</v>
      </c>
      <c r="S40" s="13">
        <v>99037</v>
      </c>
      <c r="T40" s="13">
        <v>233613</v>
      </c>
      <c r="U40" s="13">
        <v>212773</v>
      </c>
      <c r="V40" s="13">
        <v>38122</v>
      </c>
      <c r="W40" s="13">
        <v>1115</v>
      </c>
      <c r="X40" s="13">
        <v>385632</v>
      </c>
      <c r="Y40" s="13">
        <v>482622</v>
      </c>
      <c r="Z40" s="13">
        <v>1135008</v>
      </c>
      <c r="AA40" s="13">
        <v>15607</v>
      </c>
    </row>
    <row r="41" spans="1:27" ht="15.75" x14ac:dyDescent="0.25">
      <c r="A41" s="12">
        <v>44682</v>
      </c>
      <c r="B41" s="13">
        <v>2868037</v>
      </c>
      <c r="C41" s="13">
        <v>44419</v>
      </c>
      <c r="D41" s="13">
        <v>39643</v>
      </c>
      <c r="E41" s="13">
        <v>431675</v>
      </c>
      <c r="F41" s="13">
        <v>101203</v>
      </c>
      <c r="G41" s="13">
        <v>35963</v>
      </c>
      <c r="H41" s="13">
        <v>4543</v>
      </c>
      <c r="I41" s="13">
        <v>32650</v>
      </c>
      <c r="J41" s="13">
        <v>9773</v>
      </c>
      <c r="K41" s="13">
        <v>66163</v>
      </c>
      <c r="L41" s="13">
        <v>39291</v>
      </c>
      <c r="M41" s="13">
        <v>19510</v>
      </c>
      <c r="N41" s="13">
        <v>2608</v>
      </c>
      <c r="O41" s="13">
        <v>18174</v>
      </c>
      <c r="P41" s="13">
        <v>7059</v>
      </c>
      <c r="Q41" s="13">
        <v>19755</v>
      </c>
      <c r="R41" s="13">
        <v>131192</v>
      </c>
      <c r="S41" s="13">
        <v>101420</v>
      </c>
      <c r="T41" s="13">
        <v>231391</v>
      </c>
      <c r="U41" s="13">
        <v>210681</v>
      </c>
      <c r="V41" s="13">
        <v>38760</v>
      </c>
      <c r="W41" s="13">
        <v>1115</v>
      </c>
      <c r="X41" s="13">
        <v>384443</v>
      </c>
      <c r="Y41" s="13">
        <v>481301</v>
      </c>
      <c r="Z41" s="13">
        <v>1088494</v>
      </c>
      <c r="AA41" s="13">
        <v>16608</v>
      </c>
    </row>
    <row r="42" spans="1:27" ht="15.75" x14ac:dyDescent="0.25">
      <c r="A42" s="12">
        <v>44713</v>
      </c>
      <c r="B42" s="13">
        <v>2853665</v>
      </c>
      <c r="C42" s="13">
        <v>44540</v>
      </c>
      <c r="D42" s="13">
        <v>39698</v>
      </c>
      <c r="E42" s="13">
        <v>427921</v>
      </c>
      <c r="F42" s="13">
        <v>97384</v>
      </c>
      <c r="G42" s="13">
        <v>35907</v>
      </c>
      <c r="H42" s="13">
        <v>4577</v>
      </c>
      <c r="I42" s="13">
        <v>32650</v>
      </c>
      <c r="J42" s="13">
        <v>9982</v>
      </c>
      <c r="K42" s="13">
        <v>65918</v>
      </c>
      <c r="L42" s="13">
        <v>39191</v>
      </c>
      <c r="M42" s="13">
        <v>19506</v>
      </c>
      <c r="N42" s="13">
        <v>2617</v>
      </c>
      <c r="O42" s="13">
        <v>18391</v>
      </c>
      <c r="P42" s="13">
        <v>7057</v>
      </c>
      <c r="Q42" s="13">
        <v>19673</v>
      </c>
      <c r="R42" s="13">
        <v>127864</v>
      </c>
      <c r="S42" s="13">
        <v>98096</v>
      </c>
      <c r="T42" s="13">
        <v>231280</v>
      </c>
      <c r="U42" s="13">
        <v>210609</v>
      </c>
      <c r="V42" s="13">
        <v>39116</v>
      </c>
      <c r="W42" s="13">
        <v>1458</v>
      </c>
      <c r="X42" s="13">
        <v>390207</v>
      </c>
      <c r="Y42" s="13">
        <v>496416</v>
      </c>
      <c r="Z42" s="13">
        <v>1060478</v>
      </c>
      <c r="AA42" s="13">
        <v>16171</v>
      </c>
    </row>
    <row r="43" spans="1:27" ht="15.75" x14ac:dyDescent="0.25">
      <c r="A43" s="12">
        <v>44743</v>
      </c>
      <c r="B43" s="13">
        <v>2704693</v>
      </c>
      <c r="C43" s="13">
        <v>44631</v>
      </c>
      <c r="D43" s="13">
        <v>39753</v>
      </c>
      <c r="E43" s="13">
        <v>427430</v>
      </c>
      <c r="F43" s="13">
        <v>96905</v>
      </c>
      <c r="G43" s="13">
        <v>35748</v>
      </c>
      <c r="H43" s="13">
        <v>4566</v>
      </c>
      <c r="I43" s="13">
        <v>32577</v>
      </c>
      <c r="J43" s="13">
        <v>10762</v>
      </c>
      <c r="K43" s="13">
        <v>64196</v>
      </c>
      <c r="L43" s="13">
        <v>39673</v>
      </c>
      <c r="M43" s="13">
        <v>20180</v>
      </c>
      <c r="N43" s="13">
        <v>2467</v>
      </c>
      <c r="O43" s="13">
        <v>18780</v>
      </c>
      <c r="P43" s="13">
        <v>7051</v>
      </c>
      <c r="Q43" s="13">
        <v>19797</v>
      </c>
      <c r="R43" s="13">
        <v>124028</v>
      </c>
      <c r="S43" s="13">
        <v>94250</v>
      </c>
      <c r="T43" s="13">
        <v>219475</v>
      </c>
      <c r="U43" s="13">
        <v>198887</v>
      </c>
      <c r="V43" s="13">
        <v>39130</v>
      </c>
      <c r="W43" s="13">
        <v>1455</v>
      </c>
      <c r="X43" s="13">
        <v>385640</v>
      </c>
      <c r="Y43" s="13">
        <v>479676</v>
      </c>
      <c r="Z43" s="13">
        <v>948885</v>
      </c>
      <c r="AA43" s="13">
        <v>16001</v>
      </c>
    </row>
    <row r="44" spans="1:27" ht="15.75" x14ac:dyDescent="0.25">
      <c r="A44" s="12">
        <v>44774</v>
      </c>
      <c r="B44" s="13">
        <v>2698179</v>
      </c>
      <c r="C44" s="13">
        <v>45652</v>
      </c>
      <c r="D44" s="13">
        <v>40773</v>
      </c>
      <c r="E44" s="13">
        <v>426968</v>
      </c>
      <c r="F44" s="13">
        <v>98518</v>
      </c>
      <c r="G44" s="13">
        <v>35921</v>
      </c>
      <c r="H44" s="13">
        <v>4542</v>
      </c>
      <c r="I44" s="13">
        <v>32576</v>
      </c>
      <c r="J44" s="13">
        <v>10699</v>
      </c>
      <c r="K44" s="13">
        <v>64052</v>
      </c>
      <c r="L44" s="13">
        <v>39071</v>
      </c>
      <c r="M44" s="13">
        <v>18976</v>
      </c>
      <c r="N44" s="13">
        <v>2461</v>
      </c>
      <c r="O44" s="13">
        <v>18745</v>
      </c>
      <c r="P44" s="13">
        <v>7049</v>
      </c>
      <c r="Q44" s="13">
        <v>19588</v>
      </c>
      <c r="R44" s="13">
        <v>121788</v>
      </c>
      <c r="S44" s="13">
        <v>92505</v>
      </c>
      <c r="T44" s="13">
        <v>218444</v>
      </c>
      <c r="U44" s="13">
        <v>198102</v>
      </c>
      <c r="V44" s="13">
        <v>39747</v>
      </c>
      <c r="W44" s="13">
        <v>1446</v>
      </c>
      <c r="X44" s="13">
        <v>386407</v>
      </c>
      <c r="Y44" s="13">
        <v>470738</v>
      </c>
      <c r="Z44" s="13">
        <v>953152</v>
      </c>
      <c r="AA44" s="13">
        <v>15695</v>
      </c>
    </row>
    <row r="45" spans="1:27" ht="15.75" x14ac:dyDescent="0.25">
      <c r="A45" s="12">
        <v>44805</v>
      </c>
      <c r="B45" s="13">
        <v>2699089</v>
      </c>
      <c r="C45" s="13">
        <v>45660</v>
      </c>
      <c r="D45" s="13">
        <v>40743</v>
      </c>
      <c r="E45" s="13">
        <v>426249</v>
      </c>
      <c r="F45" s="13">
        <v>99032</v>
      </c>
      <c r="G45" s="13">
        <v>35881</v>
      </c>
      <c r="H45" s="13">
        <v>4482</v>
      </c>
      <c r="I45" s="13">
        <v>32144</v>
      </c>
      <c r="J45" s="13">
        <v>10736</v>
      </c>
      <c r="K45" s="13">
        <v>63929</v>
      </c>
      <c r="L45" s="13">
        <v>39008</v>
      </c>
      <c r="M45" s="13">
        <v>18994</v>
      </c>
      <c r="N45" s="13">
        <v>2461</v>
      </c>
      <c r="O45" s="13">
        <v>18724</v>
      </c>
      <c r="P45" s="13">
        <v>7049</v>
      </c>
      <c r="Q45" s="13">
        <v>19508</v>
      </c>
      <c r="R45" s="13">
        <v>120973</v>
      </c>
      <c r="S45" s="13">
        <v>91705</v>
      </c>
      <c r="T45" s="13">
        <v>219016</v>
      </c>
      <c r="U45" s="13">
        <v>198546</v>
      </c>
      <c r="V45" s="13">
        <v>39208</v>
      </c>
      <c r="W45" s="13">
        <v>1446</v>
      </c>
      <c r="X45" s="13">
        <v>383179</v>
      </c>
      <c r="Y45" s="13">
        <v>476523</v>
      </c>
      <c r="Z45" s="13">
        <v>953091</v>
      </c>
      <c r="AA45" s="13">
        <v>15681</v>
      </c>
    </row>
    <row r="46" spans="1:27" ht="15.75" x14ac:dyDescent="0.25">
      <c r="A46" s="12">
        <v>44835</v>
      </c>
      <c r="B46" s="13">
        <v>2668042</v>
      </c>
      <c r="C46" s="13">
        <v>46127</v>
      </c>
      <c r="D46" s="13">
        <v>41149</v>
      </c>
      <c r="E46" s="13">
        <v>409846</v>
      </c>
      <c r="F46" s="13">
        <v>84513</v>
      </c>
      <c r="G46" s="13">
        <v>35524</v>
      </c>
      <c r="H46" s="13">
        <v>4470</v>
      </c>
      <c r="I46" s="13">
        <v>31940</v>
      </c>
      <c r="J46" s="13">
        <v>10483</v>
      </c>
      <c r="K46" s="13">
        <v>63857</v>
      </c>
      <c r="L46" s="13">
        <v>38731</v>
      </c>
      <c r="M46" s="13">
        <v>18947</v>
      </c>
      <c r="N46" s="13">
        <v>2461</v>
      </c>
      <c r="O46" s="13">
        <v>18932</v>
      </c>
      <c r="P46" s="13">
        <v>7048</v>
      </c>
      <c r="Q46" s="13">
        <v>19277</v>
      </c>
      <c r="R46" s="13">
        <v>118824</v>
      </c>
      <c r="S46" s="13">
        <v>89550</v>
      </c>
      <c r="T46" s="13">
        <v>206694</v>
      </c>
      <c r="U46" s="13">
        <v>186081</v>
      </c>
      <c r="V46" s="13">
        <v>37616</v>
      </c>
      <c r="W46" s="13">
        <v>1439</v>
      </c>
      <c r="X46" s="13">
        <v>380268</v>
      </c>
      <c r="Y46" s="13">
        <v>469140</v>
      </c>
      <c r="Z46" s="13">
        <v>964542</v>
      </c>
      <c r="AA46" s="13">
        <v>15708</v>
      </c>
    </row>
    <row r="47" spans="1:27" ht="15.75" x14ac:dyDescent="0.25">
      <c r="A47" s="12">
        <v>44866</v>
      </c>
      <c r="B47" s="13">
        <v>2670851</v>
      </c>
      <c r="C47" s="13">
        <v>46732</v>
      </c>
      <c r="D47" s="13">
        <v>41810</v>
      </c>
      <c r="E47" s="13">
        <v>412837</v>
      </c>
      <c r="F47" s="13">
        <v>84040</v>
      </c>
      <c r="G47" s="13">
        <v>35521</v>
      </c>
      <c r="H47" s="13">
        <v>4460</v>
      </c>
      <c r="I47" s="13">
        <v>31662</v>
      </c>
      <c r="J47" s="13">
        <v>10512</v>
      </c>
      <c r="K47" s="13">
        <v>63811</v>
      </c>
      <c r="L47" s="13">
        <v>38645</v>
      </c>
      <c r="M47" s="13">
        <v>23186</v>
      </c>
      <c r="N47" s="13">
        <v>2460</v>
      </c>
      <c r="O47" s="13">
        <v>18644</v>
      </c>
      <c r="P47" s="13">
        <v>6843</v>
      </c>
      <c r="Q47" s="13">
        <v>19235</v>
      </c>
      <c r="R47" s="13">
        <v>117850</v>
      </c>
      <c r="S47" s="13">
        <v>88578</v>
      </c>
      <c r="T47" s="13">
        <v>206623</v>
      </c>
      <c r="U47" s="13">
        <v>185501</v>
      </c>
      <c r="V47" s="13">
        <v>32957</v>
      </c>
      <c r="W47" s="13">
        <v>1438</v>
      </c>
      <c r="X47" s="13">
        <v>380180</v>
      </c>
      <c r="Y47" s="13">
        <v>475030</v>
      </c>
      <c r="Z47" s="13">
        <v>963453</v>
      </c>
      <c r="AA47" s="13">
        <v>15954</v>
      </c>
    </row>
    <row r="48" spans="1:27" ht="15.75" x14ac:dyDescent="0.25">
      <c r="A48" s="12">
        <v>44896</v>
      </c>
      <c r="B48" s="13">
        <v>2679269</v>
      </c>
      <c r="C48" s="13">
        <v>53009</v>
      </c>
      <c r="D48" s="13">
        <v>47889</v>
      </c>
      <c r="E48" s="13">
        <v>407224</v>
      </c>
      <c r="F48" s="13">
        <v>81553</v>
      </c>
      <c r="G48" s="13">
        <v>35494</v>
      </c>
      <c r="H48" s="13">
        <v>4439</v>
      </c>
      <c r="I48" s="13">
        <v>31666</v>
      </c>
      <c r="J48" s="13">
        <v>9748</v>
      </c>
      <c r="K48" s="13">
        <v>63099</v>
      </c>
      <c r="L48" s="13">
        <v>38667</v>
      </c>
      <c r="M48" s="13">
        <v>23141</v>
      </c>
      <c r="N48" s="13">
        <v>2457</v>
      </c>
      <c r="O48" s="13">
        <v>18319</v>
      </c>
      <c r="P48" s="13">
        <v>6846</v>
      </c>
      <c r="Q48" s="13">
        <v>19225</v>
      </c>
      <c r="R48" s="13">
        <v>119084</v>
      </c>
      <c r="S48" s="13">
        <v>89810</v>
      </c>
      <c r="T48" s="13">
        <v>204570</v>
      </c>
      <c r="U48" s="13">
        <v>182937</v>
      </c>
      <c r="V48" s="13">
        <v>32163</v>
      </c>
      <c r="W48" s="13">
        <v>1437</v>
      </c>
      <c r="X48" s="13">
        <v>379119</v>
      </c>
      <c r="Y48" s="13">
        <v>481009</v>
      </c>
      <c r="Z48" s="13">
        <v>968056</v>
      </c>
      <c r="AA48" s="13">
        <v>15809</v>
      </c>
    </row>
    <row r="49" spans="1:27" ht="15.75" x14ac:dyDescent="0.25">
      <c r="A49" s="12">
        <v>44927</v>
      </c>
      <c r="B49" s="13">
        <v>2697266</v>
      </c>
      <c r="C49" s="13">
        <v>53007</v>
      </c>
      <c r="D49" s="13">
        <v>47635</v>
      </c>
      <c r="E49" s="13">
        <v>403079</v>
      </c>
      <c r="F49" s="13">
        <v>82877</v>
      </c>
      <c r="G49" s="13">
        <v>35479</v>
      </c>
      <c r="H49" s="13">
        <v>4422</v>
      </c>
      <c r="I49" s="13">
        <v>31658</v>
      </c>
      <c r="J49" s="13">
        <v>9713</v>
      </c>
      <c r="K49" s="13">
        <v>62974</v>
      </c>
      <c r="L49" s="13">
        <v>37969</v>
      </c>
      <c r="M49" s="13">
        <v>18692</v>
      </c>
      <c r="N49" s="13">
        <v>2457</v>
      </c>
      <c r="O49" s="13">
        <v>18853</v>
      </c>
      <c r="P49" s="13">
        <v>6854</v>
      </c>
      <c r="Q49" s="13">
        <v>19318</v>
      </c>
      <c r="R49" s="13">
        <v>112517</v>
      </c>
      <c r="S49" s="13">
        <v>83459</v>
      </c>
      <c r="T49" s="13">
        <v>201235</v>
      </c>
      <c r="U49" s="13">
        <v>179715</v>
      </c>
      <c r="V49" s="13">
        <v>33597</v>
      </c>
      <c r="W49" s="13">
        <v>1435</v>
      </c>
      <c r="X49" s="13">
        <v>371961</v>
      </c>
      <c r="Y49" s="13">
        <v>521224</v>
      </c>
      <c r="Z49" s="13">
        <v>965444</v>
      </c>
      <c r="AA49" s="13">
        <v>15884</v>
      </c>
    </row>
    <row r="50" spans="1:27" ht="15.75" x14ac:dyDescent="0.25">
      <c r="A50" s="32">
        <v>44958</v>
      </c>
      <c r="B50" s="33">
        <v>2724609</v>
      </c>
      <c r="C50" s="33">
        <v>53783</v>
      </c>
      <c r="D50" s="33">
        <v>48402</v>
      </c>
      <c r="E50" s="33">
        <v>403685</v>
      </c>
      <c r="F50" s="33">
        <v>80929</v>
      </c>
      <c r="G50" s="33">
        <v>35859</v>
      </c>
      <c r="H50" s="33">
        <v>4450</v>
      </c>
      <c r="I50" s="33">
        <v>31657</v>
      </c>
      <c r="J50" s="33">
        <v>10471</v>
      </c>
      <c r="K50" s="33">
        <v>62792</v>
      </c>
      <c r="L50" s="33">
        <v>37968</v>
      </c>
      <c r="M50" s="33">
        <v>18778</v>
      </c>
      <c r="N50" s="33">
        <v>2275</v>
      </c>
      <c r="O50" s="33">
        <v>18698</v>
      </c>
      <c r="P50" s="33">
        <v>6858</v>
      </c>
      <c r="Q50" s="33">
        <v>19337</v>
      </c>
      <c r="R50" s="33">
        <v>109462</v>
      </c>
      <c r="S50" s="33">
        <v>80386</v>
      </c>
      <c r="T50" s="33">
        <v>204872</v>
      </c>
      <c r="U50" s="33">
        <v>181757</v>
      </c>
      <c r="V50" s="33">
        <v>35795</v>
      </c>
      <c r="W50" s="33">
        <v>1435</v>
      </c>
      <c r="X50" s="33">
        <v>377979</v>
      </c>
      <c r="Y50" s="33">
        <v>527724</v>
      </c>
      <c r="Z50" s="33">
        <v>975817</v>
      </c>
      <c r="AA50" s="33">
        <v>16155</v>
      </c>
    </row>
    <row r="51" spans="1:27" ht="15.75" x14ac:dyDescent="0.25">
      <c r="A51" s="32">
        <v>44986</v>
      </c>
      <c r="B51" s="33">
        <v>2694535</v>
      </c>
      <c r="C51" s="33">
        <v>53778</v>
      </c>
      <c r="D51" s="33">
        <v>48274</v>
      </c>
      <c r="E51" s="33">
        <v>397468</v>
      </c>
      <c r="F51" s="33">
        <v>78969</v>
      </c>
      <c r="G51" s="33">
        <v>35734</v>
      </c>
      <c r="H51" s="33">
        <v>4458</v>
      </c>
      <c r="I51" s="33">
        <v>29756</v>
      </c>
      <c r="J51" s="33">
        <v>9692</v>
      </c>
      <c r="K51" s="33">
        <v>62841</v>
      </c>
      <c r="L51" s="33">
        <v>38262</v>
      </c>
      <c r="M51" s="33">
        <v>18247</v>
      </c>
      <c r="N51" s="33">
        <v>2274</v>
      </c>
      <c r="O51" s="33">
        <v>18900</v>
      </c>
      <c r="P51" s="33">
        <v>7139</v>
      </c>
      <c r="Q51" s="33">
        <v>19346</v>
      </c>
      <c r="R51" s="33">
        <v>108163</v>
      </c>
      <c r="S51" s="33">
        <v>79049</v>
      </c>
      <c r="T51" s="33">
        <v>200301</v>
      </c>
      <c r="U51" s="33">
        <v>178538</v>
      </c>
      <c r="V51" s="33">
        <v>35187</v>
      </c>
      <c r="W51" s="33">
        <v>1434</v>
      </c>
      <c r="X51" s="33">
        <v>357672</v>
      </c>
      <c r="Y51" s="33">
        <v>530136</v>
      </c>
      <c r="Z51" s="33">
        <v>975988</v>
      </c>
      <c r="AA51" s="33">
        <v>16495</v>
      </c>
    </row>
    <row r="52" spans="1:27" ht="15.75" x14ac:dyDescent="0.25">
      <c r="A52" s="32">
        <v>45017</v>
      </c>
      <c r="B52" s="33">
        <v>2662397</v>
      </c>
      <c r="C52" s="33">
        <v>53802</v>
      </c>
      <c r="D52" s="33">
        <v>48326</v>
      </c>
      <c r="E52" s="33">
        <v>392515</v>
      </c>
      <c r="F52" s="33">
        <v>75722</v>
      </c>
      <c r="G52" s="33">
        <v>35590</v>
      </c>
      <c r="H52" s="33">
        <v>4415</v>
      </c>
      <c r="I52" s="33">
        <v>29756</v>
      </c>
      <c r="J52" s="33">
        <v>9369</v>
      </c>
      <c r="K52" s="33">
        <v>62857</v>
      </c>
      <c r="L52" s="33">
        <v>38183</v>
      </c>
      <c r="M52" s="33">
        <v>18020</v>
      </c>
      <c r="N52" s="33">
        <v>2271</v>
      </c>
      <c r="O52" s="33">
        <v>18490</v>
      </c>
      <c r="P52" s="33">
        <v>6857</v>
      </c>
      <c r="Q52" s="33">
        <v>19354</v>
      </c>
      <c r="R52" s="33">
        <v>107654</v>
      </c>
      <c r="S52" s="33">
        <v>78531</v>
      </c>
      <c r="T52" s="33">
        <v>199404</v>
      </c>
      <c r="U52" s="33">
        <v>177591</v>
      </c>
      <c r="V52" s="33">
        <v>34864</v>
      </c>
      <c r="W52" s="33">
        <v>1432</v>
      </c>
      <c r="X52" s="33">
        <v>354281</v>
      </c>
      <c r="Y52" s="33">
        <v>512529</v>
      </c>
      <c r="Z52" s="33">
        <v>971758</v>
      </c>
      <c r="AA52" s="33">
        <v>16235</v>
      </c>
    </row>
    <row r="53" spans="1:27" ht="15.75" x14ac:dyDescent="0.25">
      <c r="A53" s="32">
        <v>45047</v>
      </c>
      <c r="B53" s="33">
        <v>2682161</v>
      </c>
      <c r="C53" s="33">
        <v>53655</v>
      </c>
      <c r="D53" s="33">
        <v>48327</v>
      </c>
      <c r="E53" s="33">
        <v>400379</v>
      </c>
      <c r="F53" s="33">
        <v>78242</v>
      </c>
      <c r="G53" s="33">
        <v>35466</v>
      </c>
      <c r="H53" s="33">
        <v>4380</v>
      </c>
      <c r="I53" s="33">
        <v>35752</v>
      </c>
      <c r="J53" s="33">
        <v>9468</v>
      </c>
      <c r="K53" s="33">
        <v>62874</v>
      </c>
      <c r="L53" s="33">
        <v>37632</v>
      </c>
      <c r="M53" s="33">
        <v>18491</v>
      </c>
      <c r="N53" s="33">
        <v>2264</v>
      </c>
      <c r="O53" s="33">
        <v>18036</v>
      </c>
      <c r="P53" s="33">
        <v>6857</v>
      </c>
      <c r="Q53" s="33">
        <v>19251</v>
      </c>
      <c r="R53" s="33">
        <v>106166</v>
      </c>
      <c r="S53" s="33">
        <v>77028</v>
      </c>
      <c r="T53" s="33">
        <v>200722</v>
      </c>
      <c r="U53" s="33">
        <v>178650</v>
      </c>
      <c r="V53" s="33">
        <v>35101</v>
      </c>
      <c r="W53" s="33">
        <v>1432</v>
      </c>
      <c r="X53" s="33">
        <v>358412</v>
      </c>
      <c r="Y53" s="33">
        <v>520382</v>
      </c>
      <c r="Z53" s="33">
        <v>971453</v>
      </c>
      <c r="AA53" s="33">
        <v>16639</v>
      </c>
    </row>
    <row r="54" spans="1:27" ht="15.75" x14ac:dyDescent="0.25">
      <c r="A54" s="32">
        <v>45078</v>
      </c>
      <c r="B54" s="33">
        <v>2697437</v>
      </c>
      <c r="C54" s="33">
        <v>53870</v>
      </c>
      <c r="D54" s="33">
        <v>48412</v>
      </c>
      <c r="E54" s="33">
        <v>402833</v>
      </c>
      <c r="F54" s="33">
        <v>79290</v>
      </c>
      <c r="G54" s="33">
        <v>35506</v>
      </c>
      <c r="H54" s="33">
        <v>4383</v>
      </c>
      <c r="I54" s="33">
        <v>35751</v>
      </c>
      <c r="J54" s="33">
        <v>9473</v>
      </c>
      <c r="K54" s="33">
        <v>63626</v>
      </c>
      <c r="L54" s="33">
        <v>37781</v>
      </c>
      <c r="M54" s="33">
        <v>18851</v>
      </c>
      <c r="N54" s="33">
        <v>2265</v>
      </c>
      <c r="O54" s="33">
        <v>18042</v>
      </c>
      <c r="P54" s="33">
        <v>6857</v>
      </c>
      <c r="Q54" s="33">
        <v>19232</v>
      </c>
      <c r="R54" s="33">
        <v>106470</v>
      </c>
      <c r="S54" s="33">
        <v>77300</v>
      </c>
      <c r="T54" s="33">
        <v>202603</v>
      </c>
      <c r="U54" s="33">
        <v>180327</v>
      </c>
      <c r="V54" s="33">
        <v>35401</v>
      </c>
      <c r="W54" s="33">
        <v>1432</v>
      </c>
      <c r="X54" s="33">
        <v>358923</v>
      </c>
      <c r="Y54" s="33">
        <v>521333</v>
      </c>
      <c r="Z54" s="33">
        <v>980201</v>
      </c>
      <c r="AA54" s="33">
        <v>16572</v>
      </c>
    </row>
    <row r="55" spans="1:27" ht="15.75" x14ac:dyDescent="0.25">
      <c r="A55" s="32">
        <v>45108</v>
      </c>
      <c r="B55" s="33">
        <v>2679750</v>
      </c>
      <c r="C55" s="33">
        <v>52760</v>
      </c>
      <c r="D55" s="33">
        <v>47379</v>
      </c>
      <c r="E55" s="33">
        <v>402903</v>
      </c>
      <c r="F55" s="33">
        <v>74257</v>
      </c>
      <c r="G55" s="33">
        <v>38780</v>
      </c>
      <c r="H55" s="33">
        <v>4408</v>
      </c>
      <c r="I55" s="33">
        <v>35298</v>
      </c>
      <c r="J55" s="33">
        <v>10544</v>
      </c>
      <c r="K55" s="33">
        <v>63622</v>
      </c>
      <c r="L55" s="33">
        <v>37409</v>
      </c>
      <c r="M55" s="33">
        <v>18709</v>
      </c>
      <c r="N55" s="33">
        <v>2265</v>
      </c>
      <c r="O55" s="33">
        <v>19503</v>
      </c>
      <c r="P55" s="33">
        <v>6856</v>
      </c>
      <c r="Q55" s="33">
        <v>18859</v>
      </c>
      <c r="R55" s="33">
        <v>103804</v>
      </c>
      <c r="S55" s="33">
        <v>74615</v>
      </c>
      <c r="T55" s="33">
        <v>201939</v>
      </c>
      <c r="U55" s="33">
        <v>179377</v>
      </c>
      <c r="V55" s="33">
        <v>35837</v>
      </c>
      <c r="W55" s="33">
        <v>1432</v>
      </c>
      <c r="X55" s="33">
        <v>351170</v>
      </c>
      <c r="Y55" s="33">
        <v>520668</v>
      </c>
      <c r="Z55" s="33">
        <v>975448</v>
      </c>
      <c r="AA55" s="33">
        <v>16361</v>
      </c>
    </row>
    <row r="56" spans="1:27" ht="15.75" x14ac:dyDescent="0.25">
      <c r="A56" s="32">
        <v>45139</v>
      </c>
      <c r="B56" s="33">
        <v>2669181</v>
      </c>
      <c r="C56" s="33">
        <v>53376</v>
      </c>
      <c r="D56" s="33">
        <v>47967</v>
      </c>
      <c r="E56" s="33">
        <v>395028</v>
      </c>
      <c r="F56" s="33">
        <v>69951</v>
      </c>
      <c r="G56" s="33">
        <v>38892</v>
      </c>
      <c r="H56" s="33">
        <v>4377</v>
      </c>
      <c r="I56" s="33">
        <v>35293</v>
      </c>
      <c r="J56" s="33">
        <v>9501</v>
      </c>
      <c r="K56" s="33">
        <v>63614</v>
      </c>
      <c r="L56" s="33">
        <v>35330</v>
      </c>
      <c r="M56" s="33">
        <v>18708</v>
      </c>
      <c r="N56" s="33">
        <v>2261</v>
      </c>
      <c r="O56" s="33">
        <v>19274</v>
      </c>
      <c r="P56" s="33">
        <v>6864</v>
      </c>
      <c r="Q56" s="33">
        <v>18827</v>
      </c>
      <c r="R56" s="33">
        <v>103070</v>
      </c>
      <c r="S56" s="33">
        <v>73868</v>
      </c>
      <c r="T56" s="33">
        <v>202498</v>
      </c>
      <c r="U56" s="33">
        <v>179359</v>
      </c>
      <c r="V56" s="33">
        <v>36034</v>
      </c>
      <c r="W56" s="33">
        <v>1433</v>
      </c>
      <c r="X56" s="33">
        <v>349314</v>
      </c>
      <c r="Y56" s="33">
        <v>513367</v>
      </c>
      <c r="Z56" s="33">
        <v>981273</v>
      </c>
      <c r="AA56" s="33">
        <v>16393</v>
      </c>
    </row>
    <row r="57" spans="1:27" ht="15.75" x14ac:dyDescent="0.25">
      <c r="A57" s="32">
        <v>45170</v>
      </c>
      <c r="B57" s="33">
        <v>3122763</v>
      </c>
      <c r="C57" s="33">
        <v>52773</v>
      </c>
      <c r="D57" s="33">
        <v>47191</v>
      </c>
      <c r="E57" s="33">
        <v>860053</v>
      </c>
      <c r="F57" s="33">
        <v>70098</v>
      </c>
      <c r="G57" s="33">
        <v>38653</v>
      </c>
      <c r="H57" s="33">
        <v>4230</v>
      </c>
      <c r="I57" s="33">
        <v>34694</v>
      </c>
      <c r="J57" s="33">
        <v>473458</v>
      </c>
      <c r="K57" s="33">
        <v>62992</v>
      </c>
      <c r="L57" s="33">
        <v>36901</v>
      </c>
      <c r="M57" s="33">
        <v>18570</v>
      </c>
      <c r="N57" s="33">
        <v>2036</v>
      </c>
      <c r="O57" s="33">
        <v>19216</v>
      </c>
      <c r="P57" s="33">
        <v>6855</v>
      </c>
      <c r="Q57" s="33">
        <v>18822</v>
      </c>
      <c r="R57" s="33">
        <v>102176</v>
      </c>
      <c r="S57" s="33">
        <v>73009</v>
      </c>
      <c r="T57" s="33">
        <v>204879</v>
      </c>
      <c r="U57" s="33">
        <v>180880</v>
      </c>
      <c r="V57" s="33">
        <v>36287</v>
      </c>
      <c r="W57" s="33">
        <v>1437</v>
      </c>
      <c r="X57" s="33">
        <v>349263</v>
      </c>
      <c r="Y57" s="33">
        <v>508755</v>
      </c>
      <c r="Z57" s="33">
        <v>973369</v>
      </c>
      <c r="AA57" s="33">
        <v>16385</v>
      </c>
    </row>
    <row r="58" spans="1:27" ht="15.75" x14ac:dyDescent="0.25">
      <c r="A58" s="32">
        <v>45200</v>
      </c>
      <c r="B58" s="33">
        <v>2627850</v>
      </c>
      <c r="C58" s="33">
        <v>51962</v>
      </c>
      <c r="D58" s="33">
        <v>46276</v>
      </c>
      <c r="E58" s="33">
        <v>395675</v>
      </c>
      <c r="F58" s="33">
        <v>69765</v>
      </c>
      <c r="G58" s="33">
        <v>39259</v>
      </c>
      <c r="H58" s="33">
        <v>3986</v>
      </c>
      <c r="I58" s="33">
        <v>34694</v>
      </c>
      <c r="J58" s="33">
        <v>8754</v>
      </c>
      <c r="K58" s="33">
        <v>63030</v>
      </c>
      <c r="L58" s="33">
        <v>36475</v>
      </c>
      <c r="M58" s="33">
        <v>20586</v>
      </c>
      <c r="N58" s="33">
        <v>2036</v>
      </c>
      <c r="O58" s="33">
        <v>19023</v>
      </c>
      <c r="P58" s="33">
        <v>6854</v>
      </c>
      <c r="Q58" s="33">
        <v>18844</v>
      </c>
      <c r="R58" s="33">
        <v>99815</v>
      </c>
      <c r="S58" s="33">
        <v>70509</v>
      </c>
      <c r="T58" s="33">
        <v>203197</v>
      </c>
      <c r="U58" s="33">
        <v>179617</v>
      </c>
      <c r="V58" s="33">
        <v>36321</v>
      </c>
      <c r="W58" s="33">
        <v>1435</v>
      </c>
      <c r="X58" s="33">
        <v>341413</v>
      </c>
      <c r="Y58" s="33">
        <v>496224</v>
      </c>
      <c r="Z58" s="33">
        <v>968008</v>
      </c>
      <c r="AA58" s="33">
        <v>16391</v>
      </c>
    </row>
    <row r="59" spans="1:27" ht="15.75" x14ac:dyDescent="0.25">
      <c r="A59" s="32">
        <v>45231</v>
      </c>
      <c r="B59" s="33">
        <v>2595573</v>
      </c>
      <c r="C59" s="33">
        <v>42997</v>
      </c>
      <c r="D59" s="33">
        <v>36734</v>
      </c>
      <c r="E59" s="33">
        <v>378082</v>
      </c>
      <c r="F59" s="33">
        <v>56066</v>
      </c>
      <c r="G59" s="33">
        <v>39365</v>
      </c>
      <c r="H59" s="33">
        <v>3953</v>
      </c>
      <c r="I59" s="33">
        <v>34695</v>
      </c>
      <c r="J59" s="33">
        <v>9044</v>
      </c>
      <c r="K59" s="33">
        <v>63112</v>
      </c>
      <c r="L59" s="33">
        <v>36484</v>
      </c>
      <c r="M59" s="33">
        <v>16427</v>
      </c>
      <c r="N59" s="33">
        <v>2034</v>
      </c>
      <c r="O59" s="33">
        <v>18880</v>
      </c>
      <c r="P59" s="33">
        <v>6854</v>
      </c>
      <c r="Q59" s="33">
        <v>18792</v>
      </c>
      <c r="R59" s="33">
        <v>99594</v>
      </c>
      <c r="S59" s="33">
        <v>70275</v>
      </c>
      <c r="T59" s="33">
        <v>204120</v>
      </c>
      <c r="U59" s="33">
        <v>179824</v>
      </c>
      <c r="V59" s="33">
        <v>36587</v>
      </c>
      <c r="W59" s="33">
        <v>1423</v>
      </c>
      <c r="X59" s="33">
        <v>344945</v>
      </c>
      <c r="Y59" s="33">
        <v>484311</v>
      </c>
      <c r="Z59" s="33">
        <v>969347</v>
      </c>
      <c r="AA59" s="33">
        <v>16798</v>
      </c>
    </row>
    <row r="60" spans="1:27" ht="15.75" x14ac:dyDescent="0.25">
      <c r="A60" s="32">
        <v>45261</v>
      </c>
      <c r="B60" s="34">
        <v>2625918</v>
      </c>
      <c r="C60" s="34">
        <v>42454</v>
      </c>
      <c r="D60" s="34">
        <v>36404</v>
      </c>
      <c r="E60" s="34">
        <v>379210</v>
      </c>
      <c r="F60" s="34">
        <v>59652</v>
      </c>
      <c r="G60" s="34">
        <v>36463</v>
      </c>
      <c r="H60" s="34">
        <v>3957</v>
      </c>
      <c r="I60" s="34">
        <v>34695</v>
      </c>
      <c r="J60" s="34">
        <v>9158</v>
      </c>
      <c r="K60" s="34">
        <v>63350</v>
      </c>
      <c r="L60" s="34">
        <v>37344</v>
      </c>
      <c r="M60" s="34">
        <v>16043</v>
      </c>
      <c r="N60" s="34">
        <v>2034</v>
      </c>
      <c r="O60" s="34">
        <v>18751</v>
      </c>
      <c r="P60" s="34">
        <v>6854</v>
      </c>
      <c r="Q60" s="34">
        <v>18751</v>
      </c>
      <c r="R60" s="34">
        <v>96673</v>
      </c>
      <c r="S60" s="34">
        <v>67317</v>
      </c>
      <c r="T60" s="34">
        <v>204462</v>
      </c>
      <c r="U60" s="34">
        <v>180109</v>
      </c>
      <c r="V60" s="34">
        <v>37333</v>
      </c>
      <c r="W60" s="34">
        <v>1404</v>
      </c>
      <c r="X60" s="34">
        <v>346519</v>
      </c>
      <c r="Y60" s="34">
        <v>513932</v>
      </c>
      <c r="Z60" s="34">
        <v>969543</v>
      </c>
      <c r="AA60" s="34">
        <v>17041</v>
      </c>
    </row>
    <row r="61" spans="1:27" ht="15.75" x14ac:dyDescent="0.25">
      <c r="A61" s="32">
        <v>45292</v>
      </c>
      <c r="B61" s="34">
        <v>2541350</v>
      </c>
      <c r="C61" s="34">
        <v>33008</v>
      </c>
      <c r="D61" s="34">
        <v>27110</v>
      </c>
      <c r="E61" s="34">
        <v>376511</v>
      </c>
      <c r="F61" s="34">
        <v>59456</v>
      </c>
      <c r="G61" s="34">
        <v>36749</v>
      </c>
      <c r="H61" s="34">
        <v>3908</v>
      </c>
      <c r="I61" s="34">
        <v>34695</v>
      </c>
      <c r="J61" s="34">
        <v>9250</v>
      </c>
      <c r="K61" s="34">
        <v>63315</v>
      </c>
      <c r="L61" s="34">
        <v>35857</v>
      </c>
      <c r="M61" s="34">
        <v>14778</v>
      </c>
      <c r="N61" s="34">
        <v>999</v>
      </c>
      <c r="O61" s="34">
        <v>18766</v>
      </c>
      <c r="P61" s="34">
        <v>6854</v>
      </c>
      <c r="Q61" s="34">
        <v>18693</v>
      </c>
      <c r="R61" s="34">
        <v>92093</v>
      </c>
      <c r="S61" s="34">
        <v>62942</v>
      </c>
      <c r="T61" s="34">
        <v>203066</v>
      </c>
      <c r="U61" s="34">
        <v>178388</v>
      </c>
      <c r="V61" s="34">
        <v>37242</v>
      </c>
      <c r="W61" s="34">
        <v>1281</v>
      </c>
      <c r="X61" s="34">
        <v>340895</v>
      </c>
      <c r="Y61" s="34">
        <v>465516</v>
      </c>
      <c r="Z61" s="34">
        <v>957408</v>
      </c>
      <c r="AA61" s="34">
        <v>16919</v>
      </c>
    </row>
    <row r="62" spans="1:27" ht="15.75" x14ac:dyDescent="0.25">
      <c r="A62" s="32">
        <v>45323</v>
      </c>
      <c r="B62" s="34">
        <v>2561753</v>
      </c>
      <c r="C62" s="34">
        <v>33514</v>
      </c>
      <c r="D62" s="34">
        <v>27336</v>
      </c>
      <c r="E62" s="34">
        <v>376452</v>
      </c>
      <c r="F62" s="34">
        <v>60358</v>
      </c>
      <c r="G62" s="34">
        <v>36681</v>
      </c>
      <c r="H62" s="34">
        <v>3905</v>
      </c>
      <c r="I62" s="34">
        <v>34708</v>
      </c>
      <c r="J62" s="34">
        <v>9745</v>
      </c>
      <c r="K62" s="34">
        <v>62951</v>
      </c>
      <c r="L62" s="34">
        <v>34979</v>
      </c>
      <c r="M62" s="34">
        <v>14794</v>
      </c>
      <c r="N62" s="34">
        <v>1000</v>
      </c>
      <c r="O62" s="34">
        <v>18688</v>
      </c>
      <c r="P62" s="34">
        <v>6853</v>
      </c>
      <c r="Q62" s="34">
        <v>19003</v>
      </c>
      <c r="R62" s="34">
        <v>92031</v>
      </c>
      <c r="S62" s="34">
        <v>62945</v>
      </c>
      <c r="T62" s="34">
        <v>211819</v>
      </c>
      <c r="U62" s="34">
        <v>186358</v>
      </c>
      <c r="V62" s="34">
        <v>39727</v>
      </c>
      <c r="W62" s="34">
        <v>1264</v>
      </c>
      <c r="X62" s="34">
        <v>344063</v>
      </c>
      <c r="Y62" s="34">
        <v>472442</v>
      </c>
      <c r="Z62" s="34">
        <v>955408</v>
      </c>
      <c r="AA62" s="34">
        <v>17294</v>
      </c>
    </row>
    <row r="63" spans="1:27" ht="15.75" x14ac:dyDescent="0.25">
      <c r="A63" s="32">
        <v>45352</v>
      </c>
      <c r="B63" s="34">
        <v>2570148</v>
      </c>
      <c r="C63" s="34">
        <v>33152</v>
      </c>
      <c r="D63" s="34">
        <v>27207</v>
      </c>
      <c r="E63" s="34">
        <v>373225</v>
      </c>
      <c r="F63" s="34">
        <v>57688</v>
      </c>
      <c r="G63" s="34">
        <v>36779</v>
      </c>
      <c r="H63" s="34">
        <v>3869</v>
      </c>
      <c r="I63" s="34">
        <v>33201</v>
      </c>
      <c r="J63" s="34">
        <v>10512</v>
      </c>
      <c r="K63" s="34">
        <v>63324</v>
      </c>
      <c r="L63" s="34">
        <v>34839</v>
      </c>
      <c r="M63" s="34">
        <v>15054</v>
      </c>
      <c r="N63" s="34">
        <v>1001</v>
      </c>
      <c r="O63" s="34">
        <v>18791</v>
      </c>
      <c r="P63" s="34">
        <v>6854</v>
      </c>
      <c r="Q63" s="34">
        <v>17121</v>
      </c>
      <c r="R63" s="34">
        <v>88135</v>
      </c>
      <c r="S63" s="34">
        <v>59014</v>
      </c>
      <c r="T63" s="34">
        <v>213179</v>
      </c>
      <c r="U63" s="34">
        <v>186933</v>
      </c>
      <c r="V63" s="34">
        <v>40465</v>
      </c>
      <c r="W63" s="34">
        <v>1259</v>
      </c>
      <c r="X63" s="34">
        <v>344674</v>
      </c>
      <c r="Y63" s="34">
        <v>486325</v>
      </c>
      <c r="Z63" s="34">
        <v>956218</v>
      </c>
      <c r="AA63" s="34">
        <v>17653</v>
      </c>
    </row>
    <row r="64" spans="1:27" ht="15.75" x14ac:dyDescent="0.25">
      <c r="A64" s="32">
        <v>45383</v>
      </c>
      <c r="B64" s="34">
        <v>2568470</v>
      </c>
      <c r="C64" s="34">
        <v>33103</v>
      </c>
      <c r="D64" s="34">
        <v>27138</v>
      </c>
      <c r="E64" s="34">
        <v>371193</v>
      </c>
      <c r="F64" s="34">
        <v>55118</v>
      </c>
      <c r="G64" s="34">
        <v>36393</v>
      </c>
      <c r="H64" s="34">
        <v>3877</v>
      </c>
      <c r="I64" s="34">
        <v>33220</v>
      </c>
      <c r="J64" s="34">
        <v>10528</v>
      </c>
      <c r="K64" s="34">
        <v>63279</v>
      </c>
      <c r="L64" s="34">
        <v>35720</v>
      </c>
      <c r="M64" s="34">
        <v>14831</v>
      </c>
      <c r="N64" s="34">
        <v>1004</v>
      </c>
      <c r="O64" s="34">
        <v>18801</v>
      </c>
      <c r="P64" s="34">
        <v>6854</v>
      </c>
      <c r="Q64" s="34">
        <v>17161</v>
      </c>
      <c r="R64" s="34">
        <v>87435</v>
      </c>
      <c r="S64" s="34">
        <v>58299</v>
      </c>
      <c r="T64" s="34">
        <v>213439</v>
      </c>
      <c r="U64" s="34">
        <v>186597</v>
      </c>
      <c r="V64" s="34">
        <v>41509</v>
      </c>
      <c r="W64" s="34">
        <v>1217</v>
      </c>
      <c r="X64" s="34">
        <v>346677</v>
      </c>
      <c r="Y64" s="34">
        <v>497128</v>
      </c>
      <c r="Z64" s="34">
        <v>942880</v>
      </c>
      <c r="AA64" s="34">
        <v>17945</v>
      </c>
    </row>
    <row r="65" spans="1:27" ht="15.75" x14ac:dyDescent="0.25">
      <c r="A65" s="32">
        <v>45413</v>
      </c>
      <c r="B65" s="34">
        <v>2572867</v>
      </c>
      <c r="C65" s="34">
        <v>33262</v>
      </c>
      <c r="D65" s="34">
        <v>27302</v>
      </c>
      <c r="E65" s="34">
        <v>365174</v>
      </c>
      <c r="F65" s="34">
        <v>47967</v>
      </c>
      <c r="G65" s="34">
        <v>36502</v>
      </c>
      <c r="H65" s="34">
        <v>3867</v>
      </c>
      <c r="I65" s="34">
        <v>33236</v>
      </c>
      <c r="J65" s="34">
        <v>10536</v>
      </c>
      <c r="K65" s="34">
        <v>63436</v>
      </c>
      <c r="L65" s="34">
        <v>35872</v>
      </c>
      <c r="M65" s="34">
        <v>14746</v>
      </c>
      <c r="N65" s="34">
        <v>1003</v>
      </c>
      <c r="O65" s="34">
        <v>18763</v>
      </c>
      <c r="P65" s="34">
        <v>6854</v>
      </c>
      <c r="Q65" s="34">
        <v>17214</v>
      </c>
      <c r="R65" s="34">
        <v>96744</v>
      </c>
      <c r="S65" s="34">
        <v>67587</v>
      </c>
      <c r="T65" s="34">
        <v>214263</v>
      </c>
      <c r="U65" s="34">
        <v>186584</v>
      </c>
      <c r="V65" s="34">
        <v>42826</v>
      </c>
      <c r="W65" s="34">
        <v>1217</v>
      </c>
      <c r="X65" s="34">
        <v>356071</v>
      </c>
      <c r="Y65" s="34">
        <v>488705</v>
      </c>
      <c r="Z65" s="34">
        <v>940211</v>
      </c>
      <c r="AA65" s="34">
        <v>18396</v>
      </c>
    </row>
    <row r="66" spans="1:27" ht="15.75" x14ac:dyDescent="0.25">
      <c r="A66" s="36">
        <v>45444</v>
      </c>
      <c r="B66" s="37">
        <v>2576514</v>
      </c>
      <c r="C66" s="37">
        <v>33471</v>
      </c>
      <c r="D66" s="37">
        <v>27494</v>
      </c>
      <c r="E66" s="37">
        <v>357787</v>
      </c>
      <c r="F66" s="37">
        <v>43741</v>
      </c>
      <c r="G66" s="37">
        <v>35926</v>
      </c>
      <c r="H66" s="37">
        <v>3800</v>
      </c>
      <c r="I66" s="37">
        <v>30459</v>
      </c>
      <c r="J66" s="37">
        <v>11395</v>
      </c>
      <c r="K66" s="37">
        <v>62007</v>
      </c>
      <c r="L66" s="37">
        <v>36323</v>
      </c>
      <c r="M66" s="37">
        <v>14826</v>
      </c>
      <c r="N66" s="37">
        <v>1004</v>
      </c>
      <c r="O66" s="37">
        <v>18782</v>
      </c>
      <c r="P66" s="37">
        <v>6854</v>
      </c>
      <c r="Q66" s="37">
        <v>17229</v>
      </c>
      <c r="R66" s="37">
        <v>87099</v>
      </c>
      <c r="S66" s="37">
        <v>57895</v>
      </c>
      <c r="T66" s="37">
        <v>217410</v>
      </c>
      <c r="U66" s="37">
        <v>188926</v>
      </c>
      <c r="V66" s="37">
        <v>45286</v>
      </c>
      <c r="W66" s="37">
        <v>1214</v>
      </c>
      <c r="X66" s="37">
        <v>363729</v>
      </c>
      <c r="Y66" s="37">
        <v>487054</v>
      </c>
      <c r="Z66" s="37">
        <v>948604</v>
      </c>
      <c r="AA66" s="37">
        <v>18845</v>
      </c>
    </row>
    <row r="67" spans="1:27" ht="15.75" x14ac:dyDescent="0.25">
      <c r="A67" s="36">
        <v>45474</v>
      </c>
      <c r="B67" s="37">
        <v>2608498</v>
      </c>
      <c r="C67" s="37">
        <v>34392</v>
      </c>
      <c r="D67" s="37">
        <v>28479</v>
      </c>
      <c r="E67" s="37">
        <v>357499</v>
      </c>
      <c r="F67" s="37">
        <v>43426</v>
      </c>
      <c r="G67" s="37">
        <v>36121</v>
      </c>
      <c r="H67" s="37">
        <v>3813</v>
      </c>
      <c r="I67" s="37">
        <v>30445</v>
      </c>
      <c r="J67" s="37">
        <v>11415</v>
      </c>
      <c r="K67" s="37">
        <v>61980</v>
      </c>
      <c r="L67" s="37">
        <v>36448</v>
      </c>
      <c r="M67" s="37">
        <v>14553</v>
      </c>
      <c r="N67" s="37">
        <v>1004</v>
      </c>
      <c r="O67" s="37">
        <v>18697</v>
      </c>
      <c r="P67" s="37">
        <v>6853</v>
      </c>
      <c r="Q67" s="37">
        <v>17230</v>
      </c>
      <c r="R67" s="37">
        <v>115167</v>
      </c>
      <c r="S67" s="37">
        <v>85927</v>
      </c>
      <c r="T67" s="37">
        <v>216753</v>
      </c>
      <c r="U67" s="37">
        <v>188070</v>
      </c>
      <c r="V67" s="37">
        <v>45785</v>
      </c>
      <c r="W67" s="37">
        <v>1214</v>
      </c>
      <c r="X67" s="37">
        <v>366188</v>
      </c>
      <c r="Y67" s="37">
        <v>487097</v>
      </c>
      <c r="Z67" s="37">
        <v>949084</v>
      </c>
      <c r="AA67" s="37">
        <v>19303</v>
      </c>
    </row>
    <row r="68" spans="1:27" ht="15.75" x14ac:dyDescent="0.25">
      <c r="A68" s="36">
        <v>45505</v>
      </c>
      <c r="B68" s="37">
        <v>2637829</v>
      </c>
      <c r="C68" s="37">
        <v>34588</v>
      </c>
      <c r="D68" s="37">
        <v>28838</v>
      </c>
      <c r="E68" s="37">
        <v>363581</v>
      </c>
      <c r="F68" s="37">
        <v>42578</v>
      </c>
      <c r="G68" s="37">
        <v>36383</v>
      </c>
      <c r="H68" s="37">
        <v>3842</v>
      </c>
      <c r="I68" s="37">
        <v>31541</v>
      </c>
      <c r="J68" s="37">
        <v>11549</v>
      </c>
      <c r="K68" s="37">
        <v>62102</v>
      </c>
      <c r="L68" s="37">
        <v>40904</v>
      </c>
      <c r="M68" s="37">
        <v>13815</v>
      </c>
      <c r="N68" s="37">
        <v>1004</v>
      </c>
      <c r="O68" s="37">
        <v>20129</v>
      </c>
      <c r="P68" s="37">
        <v>6854</v>
      </c>
      <c r="Q68" s="37">
        <v>17169</v>
      </c>
      <c r="R68" s="37">
        <v>115577</v>
      </c>
      <c r="S68" s="37">
        <v>86348</v>
      </c>
      <c r="T68" s="37">
        <v>232274</v>
      </c>
      <c r="U68" s="37">
        <v>202209</v>
      </c>
      <c r="V68" s="37">
        <v>47075</v>
      </c>
      <c r="W68" s="37">
        <v>1208</v>
      </c>
      <c r="X68" s="37">
        <v>367861</v>
      </c>
      <c r="Y68" s="37">
        <v>492436</v>
      </c>
      <c r="Z68" s="37">
        <v>947431</v>
      </c>
      <c r="AA68" s="37">
        <v>19835</v>
      </c>
    </row>
    <row r="69" spans="1:27" ht="15.75" x14ac:dyDescent="0.25">
      <c r="A69" s="36">
        <v>45536</v>
      </c>
      <c r="B69" s="37">
        <v>2581059</v>
      </c>
      <c r="C69" s="37">
        <v>34435</v>
      </c>
      <c r="D69" s="37">
        <v>28670</v>
      </c>
      <c r="E69" s="37">
        <v>334927</v>
      </c>
      <c r="F69" s="37">
        <v>42617</v>
      </c>
      <c r="G69" s="37">
        <v>36674</v>
      </c>
      <c r="H69" s="37">
        <v>3877</v>
      </c>
      <c r="I69" s="37">
        <v>31543</v>
      </c>
      <c r="J69" s="37">
        <v>11613</v>
      </c>
      <c r="K69" s="37">
        <v>37021</v>
      </c>
      <c r="L69" s="37">
        <v>37036</v>
      </c>
      <c r="M69" s="37">
        <v>13806</v>
      </c>
      <c r="N69" s="37">
        <v>1006</v>
      </c>
      <c r="O69" s="37">
        <v>20160</v>
      </c>
      <c r="P69" s="37">
        <v>6864</v>
      </c>
      <c r="Q69" s="37">
        <v>17125</v>
      </c>
      <c r="R69" s="37">
        <v>113181</v>
      </c>
      <c r="S69" s="37">
        <v>83927</v>
      </c>
      <c r="T69" s="37">
        <v>217035</v>
      </c>
      <c r="U69" s="37">
        <v>186065</v>
      </c>
      <c r="V69" s="37">
        <v>48645</v>
      </c>
      <c r="W69" s="37">
        <v>1256</v>
      </c>
      <c r="X69" s="37">
        <v>371788</v>
      </c>
      <c r="Y69" s="37">
        <v>477639</v>
      </c>
      <c r="Z69" s="37">
        <v>945752</v>
      </c>
      <c r="AA69" s="37">
        <v>20533</v>
      </c>
    </row>
    <row r="70" spans="1:27" ht="15.75" x14ac:dyDescent="0.25">
      <c r="A70" s="36">
        <v>45566</v>
      </c>
      <c r="B70" s="37">
        <v>2609310</v>
      </c>
      <c r="C70" s="37">
        <v>34828</v>
      </c>
      <c r="D70" s="37">
        <v>28797</v>
      </c>
      <c r="E70" s="37">
        <v>332946</v>
      </c>
      <c r="F70" s="37">
        <v>41513</v>
      </c>
      <c r="G70" s="37">
        <v>37212</v>
      </c>
      <c r="H70" s="37">
        <v>3901</v>
      </c>
      <c r="I70" s="37">
        <v>30926</v>
      </c>
      <c r="J70" s="37">
        <v>11621</v>
      </c>
      <c r="K70" s="37">
        <v>37106</v>
      </c>
      <c r="L70" s="37">
        <v>37134</v>
      </c>
      <c r="M70" s="37">
        <v>13300</v>
      </c>
      <c r="N70" s="37">
        <v>518</v>
      </c>
      <c r="O70" s="37">
        <v>20172</v>
      </c>
      <c r="P70" s="37">
        <v>6861</v>
      </c>
      <c r="Q70" s="37">
        <v>16868</v>
      </c>
      <c r="R70" s="37">
        <v>111377</v>
      </c>
      <c r="S70" s="37">
        <v>82084</v>
      </c>
      <c r="T70" s="37">
        <v>219260</v>
      </c>
      <c r="U70" s="37">
        <v>188221</v>
      </c>
      <c r="V70" s="37">
        <v>49494</v>
      </c>
      <c r="W70" s="37">
        <v>1281</v>
      </c>
      <c r="X70" s="37">
        <v>376205</v>
      </c>
      <c r="Y70" s="37">
        <v>500194</v>
      </c>
      <c r="Z70" s="37">
        <v>945487</v>
      </c>
      <c r="AA70" s="37">
        <v>22651</v>
      </c>
    </row>
    <row r="71" spans="1:27" ht="15.75" x14ac:dyDescent="0.25">
      <c r="A71" s="36">
        <v>45597</v>
      </c>
      <c r="B71" s="37">
        <v>2613655</v>
      </c>
      <c r="C71" s="37">
        <v>35327</v>
      </c>
      <c r="D71" s="37">
        <v>29129</v>
      </c>
      <c r="E71" s="37">
        <v>333122</v>
      </c>
      <c r="F71" s="37">
        <v>42131</v>
      </c>
      <c r="G71" s="37">
        <v>37202</v>
      </c>
      <c r="H71" s="37">
        <v>3999</v>
      </c>
      <c r="I71" s="37">
        <v>32024</v>
      </c>
      <c r="J71" s="37">
        <v>11755</v>
      </c>
      <c r="K71" s="37">
        <v>37139</v>
      </c>
      <c r="L71" s="37">
        <v>37225</v>
      </c>
      <c r="M71" s="37">
        <v>13327</v>
      </c>
      <c r="N71" s="37">
        <v>519</v>
      </c>
      <c r="O71" s="37">
        <v>18108</v>
      </c>
      <c r="P71" s="37">
        <v>6860</v>
      </c>
      <c r="Q71" s="37">
        <v>16876</v>
      </c>
      <c r="R71" s="37">
        <v>111370</v>
      </c>
      <c r="S71" s="37">
        <v>82087</v>
      </c>
      <c r="T71" s="37">
        <v>220971</v>
      </c>
      <c r="U71" s="37">
        <v>189636</v>
      </c>
      <c r="V71" s="37">
        <v>48968</v>
      </c>
      <c r="W71" s="37">
        <v>1267</v>
      </c>
      <c r="X71" s="37">
        <v>378740</v>
      </c>
      <c r="Y71" s="37">
        <v>499447</v>
      </c>
      <c r="Z71" s="37">
        <v>946593</v>
      </c>
      <c r="AA71" s="37">
        <v>22241</v>
      </c>
    </row>
    <row r="72" spans="1:27" ht="15.75" x14ac:dyDescent="0.25">
      <c r="A72" s="36">
        <v>45627</v>
      </c>
      <c r="B72" s="37">
        <v>2561908</v>
      </c>
      <c r="C72" s="37">
        <v>34872</v>
      </c>
      <c r="D72" s="37">
        <v>28702</v>
      </c>
      <c r="E72" s="37">
        <v>330856</v>
      </c>
      <c r="F72" s="37">
        <v>41300</v>
      </c>
      <c r="G72" s="37">
        <v>37162</v>
      </c>
      <c r="H72" s="37">
        <v>4002</v>
      </c>
      <c r="I72" s="37">
        <v>30931</v>
      </c>
      <c r="J72" s="37">
        <v>11527</v>
      </c>
      <c r="K72" s="37">
        <v>37212</v>
      </c>
      <c r="L72" s="37">
        <v>37504</v>
      </c>
      <c r="M72" s="37">
        <v>13391</v>
      </c>
      <c r="N72" s="37">
        <v>517</v>
      </c>
      <c r="O72" s="37">
        <v>17569</v>
      </c>
      <c r="P72" s="37">
        <v>6822</v>
      </c>
      <c r="Q72" s="37">
        <v>16920</v>
      </c>
      <c r="R72" s="37">
        <v>111913</v>
      </c>
      <c r="S72" s="37">
        <v>82610</v>
      </c>
      <c r="T72" s="37">
        <v>218621</v>
      </c>
      <c r="U72" s="37">
        <v>188147</v>
      </c>
      <c r="V72" s="37">
        <v>49842</v>
      </c>
      <c r="W72" s="37">
        <v>1044</v>
      </c>
      <c r="X72" s="37">
        <v>380304</v>
      </c>
      <c r="Y72" s="37">
        <v>498100</v>
      </c>
      <c r="Z72" s="37">
        <v>898652</v>
      </c>
      <c r="AA72" s="37">
        <v>21827</v>
      </c>
    </row>
    <row r="73" spans="1:27" ht="15.75" x14ac:dyDescent="0.25">
      <c r="A73" s="12">
        <v>45658</v>
      </c>
      <c r="B73" s="13">
        <v>2542932</v>
      </c>
      <c r="C73" s="13">
        <v>35259</v>
      </c>
      <c r="D73" s="13">
        <v>28565</v>
      </c>
      <c r="E73" s="13">
        <v>319933</v>
      </c>
      <c r="F73" s="13">
        <v>37945</v>
      </c>
      <c r="G73" s="13">
        <v>37480</v>
      </c>
      <c r="H73" s="13">
        <v>4064</v>
      </c>
      <c r="I73" s="13">
        <v>30926</v>
      </c>
      <c r="J73" s="13">
        <v>10643</v>
      </c>
      <c r="K73" s="13">
        <v>37058</v>
      </c>
      <c r="L73" s="13">
        <v>35561</v>
      </c>
      <c r="M73" s="13">
        <v>13154</v>
      </c>
      <c r="N73" s="13">
        <v>517</v>
      </c>
      <c r="O73" s="13">
        <v>17562</v>
      </c>
      <c r="P73" s="13">
        <v>6821</v>
      </c>
      <c r="Q73" s="13">
        <v>16888</v>
      </c>
      <c r="R73" s="13">
        <v>111178</v>
      </c>
      <c r="S73" s="13">
        <v>82033</v>
      </c>
      <c r="T73" s="13">
        <v>223566</v>
      </c>
      <c r="U73" s="13">
        <v>193367</v>
      </c>
      <c r="V73" s="13">
        <v>50004</v>
      </c>
      <c r="W73" s="13">
        <v>995</v>
      </c>
      <c r="X73" s="13">
        <v>381930</v>
      </c>
      <c r="Y73" s="13">
        <v>494816</v>
      </c>
      <c r="Z73" s="13">
        <v>887501</v>
      </c>
      <c r="AA73" s="13">
        <v>21857</v>
      </c>
    </row>
    <row r="74" spans="1:27" ht="15.75" x14ac:dyDescent="0.25">
      <c r="A74" s="38">
        <v>45689</v>
      </c>
      <c r="B74" s="39">
        <v>2605623</v>
      </c>
      <c r="C74" s="39">
        <v>36566</v>
      </c>
      <c r="D74" s="39">
        <v>29176</v>
      </c>
      <c r="E74" s="39">
        <v>324095</v>
      </c>
      <c r="F74" s="39">
        <v>39722</v>
      </c>
      <c r="G74" s="39">
        <v>37809</v>
      </c>
      <c r="H74" s="39">
        <v>4437</v>
      </c>
      <c r="I74" s="39">
        <v>30926</v>
      </c>
      <c r="J74" s="39">
        <v>11779</v>
      </c>
      <c r="K74" s="39">
        <v>35166</v>
      </c>
      <c r="L74" s="39">
        <v>36163</v>
      </c>
      <c r="M74" s="39">
        <v>13175</v>
      </c>
      <c r="N74" s="39">
        <v>528</v>
      </c>
      <c r="O74" s="39">
        <v>17639</v>
      </c>
      <c r="P74" s="39">
        <v>6816</v>
      </c>
      <c r="Q74" s="39">
        <v>16867</v>
      </c>
      <c r="R74" s="39">
        <v>111751</v>
      </c>
      <c r="S74" s="39">
        <v>82538</v>
      </c>
      <c r="T74" s="39">
        <v>248399</v>
      </c>
      <c r="U74" s="39">
        <v>217911</v>
      </c>
      <c r="V74" s="39">
        <v>52890</v>
      </c>
      <c r="W74" s="39">
        <v>1005</v>
      </c>
      <c r="X74" s="39">
        <v>385535</v>
      </c>
      <c r="Y74" s="39">
        <v>517046</v>
      </c>
      <c r="Z74" s="39">
        <v>889046</v>
      </c>
      <c r="AA74" s="39">
        <v>23430</v>
      </c>
    </row>
    <row r="75" spans="1:27" ht="15.75" x14ac:dyDescent="0.25">
      <c r="A75" s="38">
        <v>45717</v>
      </c>
      <c r="B75" s="39">
        <v>2644120</v>
      </c>
      <c r="C75" s="39">
        <v>39717</v>
      </c>
      <c r="D75" s="39">
        <v>29862</v>
      </c>
      <c r="E75" s="39">
        <v>331541</v>
      </c>
      <c r="F75" s="39">
        <v>40852</v>
      </c>
      <c r="G75" s="39">
        <v>37978</v>
      </c>
      <c r="H75" s="39">
        <v>4490</v>
      </c>
      <c r="I75" s="39">
        <v>30930</v>
      </c>
      <c r="J75" s="39">
        <v>13059</v>
      </c>
      <c r="K75" s="39">
        <v>38193</v>
      </c>
      <c r="L75" s="39">
        <v>36415</v>
      </c>
      <c r="M75" s="39">
        <v>13294</v>
      </c>
      <c r="N75" s="39">
        <v>528</v>
      </c>
      <c r="O75" s="39">
        <v>17679</v>
      </c>
      <c r="P75" s="39">
        <v>6820</v>
      </c>
      <c r="Q75" s="39">
        <v>16921</v>
      </c>
      <c r="R75" s="39">
        <v>112395</v>
      </c>
      <c r="S75" s="39">
        <v>83152</v>
      </c>
      <c r="T75" s="39">
        <v>247363</v>
      </c>
      <c r="U75" s="39">
        <v>213935</v>
      </c>
      <c r="V75" s="39">
        <v>56217</v>
      </c>
      <c r="W75" s="39">
        <v>1006</v>
      </c>
      <c r="X75" s="39">
        <v>392846</v>
      </c>
      <c r="Y75" s="39">
        <v>530299</v>
      </c>
      <c r="Z75" s="39">
        <v>892138</v>
      </c>
      <c r="AA75" s="39">
        <v>24684</v>
      </c>
    </row>
    <row r="76" spans="1:27" ht="15.75" x14ac:dyDescent="0.25">
      <c r="A76" s="38">
        <v>45748</v>
      </c>
      <c r="B76" s="39">
        <v>2683133</v>
      </c>
      <c r="C76" s="39">
        <v>39582</v>
      </c>
      <c r="D76" s="39">
        <v>30427</v>
      </c>
      <c r="E76" s="39">
        <v>336307</v>
      </c>
      <c r="F76" s="39">
        <v>42318</v>
      </c>
      <c r="G76" s="39">
        <v>38035</v>
      </c>
      <c r="H76" s="39">
        <v>4672</v>
      </c>
      <c r="I76" s="39">
        <v>30832</v>
      </c>
      <c r="J76" s="39">
        <v>12559</v>
      </c>
      <c r="K76" s="39">
        <v>40594</v>
      </c>
      <c r="L76" s="39">
        <v>36800</v>
      </c>
      <c r="M76" s="39">
        <v>13501</v>
      </c>
      <c r="N76" s="39">
        <v>549</v>
      </c>
      <c r="O76" s="39">
        <v>17701</v>
      </c>
      <c r="P76" s="39">
        <v>6826</v>
      </c>
      <c r="Q76" s="39">
        <v>16986</v>
      </c>
      <c r="R76" s="39">
        <v>112142</v>
      </c>
      <c r="S76" s="39">
        <v>82823</v>
      </c>
      <c r="T76" s="39">
        <v>251915</v>
      </c>
      <c r="U76" s="39">
        <v>216402</v>
      </c>
      <c r="V76" s="39">
        <v>58589</v>
      </c>
      <c r="W76" s="39">
        <v>960</v>
      </c>
      <c r="X76" s="39">
        <v>400378</v>
      </c>
      <c r="Y76" s="39">
        <v>546095</v>
      </c>
      <c r="Z76" s="39">
        <v>895685</v>
      </c>
      <c r="AA76" s="39">
        <v>25453</v>
      </c>
    </row>
    <row r="77" spans="1:27" ht="15.75" x14ac:dyDescent="0.25">
      <c r="A77" s="38">
        <v>45778</v>
      </c>
      <c r="B77" s="39">
        <v>2751340</v>
      </c>
      <c r="C77" s="39">
        <v>80126</v>
      </c>
      <c r="D77" s="39">
        <v>70183</v>
      </c>
      <c r="E77" s="39">
        <v>367645</v>
      </c>
      <c r="F77" s="39">
        <v>44379</v>
      </c>
      <c r="G77" s="39">
        <v>40775</v>
      </c>
      <c r="H77" s="39">
        <v>4918</v>
      </c>
      <c r="I77" s="39">
        <v>40055</v>
      </c>
      <c r="J77" s="39">
        <v>27239</v>
      </c>
      <c r="K77" s="39">
        <v>43172</v>
      </c>
      <c r="L77" s="39">
        <v>37696</v>
      </c>
      <c r="M77" s="39">
        <v>13528</v>
      </c>
      <c r="N77" s="39">
        <v>107</v>
      </c>
      <c r="O77" s="39">
        <v>18433</v>
      </c>
      <c r="P77" s="39">
        <v>7572</v>
      </c>
      <c r="Q77" s="39">
        <v>16873</v>
      </c>
      <c r="R77" s="39">
        <v>115495</v>
      </c>
      <c r="S77" s="39">
        <v>86112</v>
      </c>
      <c r="T77" s="39">
        <v>257436</v>
      </c>
      <c r="U77" s="39">
        <v>221169</v>
      </c>
      <c r="V77" s="39">
        <v>61025</v>
      </c>
      <c r="W77" s="39">
        <v>961</v>
      </c>
      <c r="X77" s="39">
        <v>418122</v>
      </c>
      <c r="Y77" s="39">
        <v>503571</v>
      </c>
      <c r="Z77" s="39">
        <v>904154</v>
      </c>
      <c r="AA77" s="39">
        <v>26893</v>
      </c>
    </row>
    <row r="78" spans="1:27" ht="15.75" x14ac:dyDescent="0.25">
      <c r="A78" s="38">
        <v>45809</v>
      </c>
      <c r="B78" s="39">
        <v>2772521</v>
      </c>
      <c r="C78" s="39">
        <v>79649</v>
      </c>
      <c r="D78" s="39">
        <v>68953</v>
      </c>
      <c r="E78" s="39">
        <v>363569</v>
      </c>
      <c r="F78" s="39">
        <v>45584</v>
      </c>
      <c r="G78" s="39">
        <v>41533</v>
      </c>
      <c r="H78" s="39">
        <v>5263</v>
      </c>
      <c r="I78" s="39">
        <v>32030</v>
      </c>
      <c r="J78" s="39">
        <v>27088</v>
      </c>
      <c r="K78" s="39">
        <v>43332</v>
      </c>
      <c r="L78" s="39">
        <v>38397</v>
      </c>
      <c r="M78" s="39">
        <v>13870</v>
      </c>
      <c r="N78" s="39">
        <v>297</v>
      </c>
      <c r="O78" s="39">
        <v>17659</v>
      </c>
      <c r="P78" s="39">
        <v>6861</v>
      </c>
      <c r="Q78" s="39">
        <v>16802</v>
      </c>
      <c r="R78" s="39">
        <v>116531</v>
      </c>
      <c r="S78" s="39">
        <v>87136</v>
      </c>
      <c r="T78" s="39">
        <v>261549</v>
      </c>
      <c r="U78" s="39">
        <v>224354</v>
      </c>
      <c r="V78" s="39">
        <v>63628</v>
      </c>
      <c r="W78" s="39">
        <v>982</v>
      </c>
      <c r="X78" s="39">
        <v>432560</v>
      </c>
      <c r="Y78" s="39">
        <v>508205</v>
      </c>
      <c r="Z78" s="39">
        <v>901965</v>
      </c>
      <c r="AA78" s="39">
        <v>28061</v>
      </c>
    </row>
    <row r="79" spans="1:27" ht="15.75" x14ac:dyDescent="0.25">
      <c r="A79" s="38">
        <v>45839</v>
      </c>
      <c r="B79" s="39">
        <v>2808072</v>
      </c>
      <c r="C79" s="39">
        <v>80449</v>
      </c>
      <c r="D79" s="39">
        <v>70993</v>
      </c>
      <c r="E79" s="39">
        <v>369623</v>
      </c>
      <c r="F79" s="39">
        <v>47739</v>
      </c>
      <c r="G79" s="39">
        <v>41717</v>
      </c>
      <c r="H79" s="39">
        <v>5409</v>
      </c>
      <c r="I79" s="39">
        <v>32914</v>
      </c>
      <c r="J79" s="39">
        <v>27298</v>
      </c>
      <c r="K79" s="39">
        <v>43715</v>
      </c>
      <c r="L79" s="39">
        <v>38350</v>
      </c>
      <c r="M79" s="39">
        <v>14087</v>
      </c>
      <c r="N79" s="39">
        <v>336</v>
      </c>
      <c r="O79" s="39">
        <v>17705</v>
      </c>
      <c r="P79" s="39">
        <v>6889</v>
      </c>
      <c r="Q79" s="39">
        <v>16810</v>
      </c>
      <c r="R79" s="39">
        <v>116999</v>
      </c>
      <c r="S79" s="39">
        <v>87613</v>
      </c>
      <c r="T79" s="39">
        <v>267074</v>
      </c>
      <c r="U79" s="39">
        <v>228851</v>
      </c>
      <c r="V79" s="39">
        <v>67655</v>
      </c>
      <c r="W79" s="39">
        <v>982</v>
      </c>
      <c r="X79" s="39">
        <v>449036</v>
      </c>
      <c r="Y79" s="39">
        <v>507627</v>
      </c>
      <c r="Z79" s="39">
        <v>903445</v>
      </c>
      <c r="AA79" s="39">
        <v>29353</v>
      </c>
    </row>
    <row r="80" spans="1:27" ht="15.75" x14ac:dyDescent="0.25">
      <c r="A80" s="38">
        <v>45870</v>
      </c>
      <c r="B80" s="39">
        <v>2816229</v>
      </c>
      <c r="C80" s="39">
        <v>82490</v>
      </c>
      <c r="D80" s="39">
        <v>73322</v>
      </c>
      <c r="E80" s="39">
        <v>374821</v>
      </c>
      <c r="F80" s="39">
        <v>50160</v>
      </c>
      <c r="G80" s="39">
        <v>41883</v>
      </c>
      <c r="H80" s="39">
        <v>4482</v>
      </c>
      <c r="I80" s="39">
        <v>33331</v>
      </c>
      <c r="J80" s="39">
        <v>28622</v>
      </c>
      <c r="K80" s="39">
        <v>44115</v>
      </c>
      <c r="L80" s="39">
        <v>38622</v>
      </c>
      <c r="M80" s="39">
        <v>14314</v>
      </c>
      <c r="N80" s="39">
        <v>332</v>
      </c>
      <c r="O80" s="39">
        <v>18124</v>
      </c>
      <c r="P80" s="39">
        <v>6942</v>
      </c>
      <c r="Q80" s="39">
        <v>16980</v>
      </c>
      <c r="R80" s="39">
        <v>92455</v>
      </c>
      <c r="S80" s="39">
        <v>62947</v>
      </c>
      <c r="T80" s="39">
        <v>267266</v>
      </c>
      <c r="U80" s="39">
        <v>229762</v>
      </c>
      <c r="V80" s="39">
        <v>68391</v>
      </c>
      <c r="W80" s="39">
        <v>982</v>
      </c>
      <c r="X80" s="39">
        <v>474001</v>
      </c>
      <c r="Y80" s="39">
        <v>506364</v>
      </c>
      <c r="Z80" s="39">
        <v>903260</v>
      </c>
      <c r="AA80" s="39">
        <v>30200</v>
      </c>
    </row>
    <row r="81" spans="1:27" ht="15.75" x14ac:dyDescent="0.25">
      <c r="A81" s="38">
        <v>45901</v>
      </c>
      <c r="B81" s="39">
        <v>2827694</v>
      </c>
      <c r="C81" s="39">
        <v>76011</v>
      </c>
      <c r="D81" s="39">
        <v>66831</v>
      </c>
      <c r="E81" s="39">
        <v>401445</v>
      </c>
      <c r="F81" s="39">
        <v>49867</v>
      </c>
      <c r="G81" s="39">
        <v>63992</v>
      </c>
      <c r="H81" s="39">
        <v>4969</v>
      </c>
      <c r="I81" s="39">
        <v>36345</v>
      </c>
      <c r="J81" s="39">
        <v>28177</v>
      </c>
      <c r="K81" s="39">
        <v>42846</v>
      </c>
      <c r="L81" s="39">
        <v>38806</v>
      </c>
      <c r="M81" s="39">
        <v>14561</v>
      </c>
      <c r="N81" s="39">
        <v>330</v>
      </c>
      <c r="O81" s="39">
        <v>20358</v>
      </c>
      <c r="P81" s="39">
        <v>6890</v>
      </c>
      <c r="Q81" s="39">
        <v>16875</v>
      </c>
      <c r="R81" s="39">
        <v>91621</v>
      </c>
      <c r="S81" s="39">
        <v>62583</v>
      </c>
      <c r="T81" s="39">
        <v>266412</v>
      </c>
      <c r="U81" s="39">
        <v>228945</v>
      </c>
      <c r="V81" s="39">
        <v>69103</v>
      </c>
      <c r="W81" s="39">
        <v>982</v>
      </c>
      <c r="X81" s="39">
        <v>470256</v>
      </c>
      <c r="Y81" s="39">
        <v>501856</v>
      </c>
      <c r="Z81" s="39">
        <v>903770</v>
      </c>
      <c r="AA81" s="39">
        <v>30343</v>
      </c>
    </row>
  </sheetData>
  <hyperlinks>
    <hyperlink ref="AC1" r:id="rId1" xr:uid="{B5D1FE69-23F8-4D34-B163-229F340E3B1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Прогнозы</vt:lpstr>
      <vt:lpstr>Данные для расчета NPL&gt;</vt:lpstr>
      <vt:lpstr>Total_before_2019</vt:lpstr>
      <vt:lpstr>Non-performing_before_2019</vt:lpstr>
      <vt:lpstr>Total_after_2019</vt:lpstr>
      <vt:lpstr>Non-performing_after_2019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PiterGavrinev</dc:creator>
  <cp:lastModifiedBy>София Макашова</cp:lastModifiedBy>
  <dcterms:created xsi:type="dcterms:W3CDTF">2019-09-02T06:26:07Z</dcterms:created>
  <dcterms:modified xsi:type="dcterms:W3CDTF">2025-12-23T19:03:54Z</dcterms:modified>
</cp:coreProperties>
</file>